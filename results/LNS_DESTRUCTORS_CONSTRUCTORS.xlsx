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0698\Desktop\"/>
    </mc:Choice>
  </mc:AlternateContent>
  <xr:revisionPtr revIDLastSave="0" documentId="13_ncr:1_{9163CAA1-82B0-4FB9-8C4D-4C84FD8AD173}" xr6:coauthVersionLast="47" xr6:coauthVersionMax="47" xr10:uidLastSave="{00000000-0000-0000-0000-000000000000}"/>
  <bookViews>
    <workbookView xWindow="-108" yWindow="-108" windowWidth="23256" windowHeight="12576" activeTab="3" xr2:uid="{5A0BEF95-976B-43F0-A166-0243FC6C63F1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4" l="1"/>
  <c r="R4" i="4"/>
  <c r="Q4" i="4"/>
  <c r="E4" i="4"/>
  <c r="P4" i="1"/>
  <c r="Z4" i="2"/>
  <c r="V4" i="4"/>
  <c r="U4" i="4"/>
  <c r="S4" i="4"/>
  <c r="G4" i="4" l="1"/>
  <c r="H4" i="4"/>
  <c r="I4" i="4"/>
  <c r="J4" i="4"/>
  <c r="K4" i="4"/>
  <c r="L4" i="4"/>
  <c r="M4" i="4"/>
  <c r="N4" i="4"/>
  <c r="F4" i="4"/>
  <c r="H4" i="2"/>
  <c r="G4" i="2"/>
  <c r="M4" i="2" l="1"/>
  <c r="P4" i="2"/>
  <c r="N4" i="2"/>
  <c r="T4" i="2"/>
  <c r="S4" i="2"/>
  <c r="Q4" i="2"/>
  <c r="K4" i="2"/>
  <c r="J4" i="2"/>
  <c r="U67" i="2"/>
  <c r="V67" i="2"/>
  <c r="Y65" i="2"/>
  <c r="X65" i="2"/>
  <c r="X66" i="2" s="1"/>
  <c r="X67" i="2" s="1"/>
  <c r="W65" i="2"/>
  <c r="V65" i="2"/>
  <c r="U65" i="2"/>
  <c r="Y57" i="2"/>
  <c r="X57" i="2"/>
  <c r="W57" i="2"/>
  <c r="W58" i="2" s="1"/>
  <c r="W59" i="2" s="1"/>
  <c r="V57" i="2"/>
  <c r="U57" i="2"/>
  <c r="U58" i="2" s="1"/>
  <c r="Y49" i="2"/>
  <c r="X49" i="2"/>
  <c r="W49" i="2"/>
  <c r="V49" i="2"/>
  <c r="U49" i="2"/>
  <c r="Y41" i="2"/>
  <c r="Y42" i="2" s="1"/>
  <c r="Y43" i="2" s="1"/>
  <c r="X41" i="2"/>
  <c r="W41" i="2"/>
  <c r="W42" i="2" s="1"/>
  <c r="V41" i="2"/>
  <c r="U41" i="2"/>
  <c r="Y33" i="2"/>
  <c r="Y34" i="2" s="1"/>
  <c r="X33" i="2"/>
  <c r="W33" i="2"/>
  <c r="V33" i="2"/>
  <c r="U33" i="2"/>
  <c r="U34" i="2" s="1"/>
  <c r="Y25" i="2"/>
  <c r="X25" i="2"/>
  <c r="W25" i="2"/>
  <c r="W26" i="2" s="1"/>
  <c r="V25" i="2"/>
  <c r="V26" i="2" s="1"/>
  <c r="U25" i="2"/>
  <c r="U26" i="2" s="1"/>
  <c r="Y17" i="2"/>
  <c r="X17" i="2"/>
  <c r="W17" i="2"/>
  <c r="W18" i="2" s="1"/>
  <c r="V17" i="2"/>
  <c r="U17" i="2"/>
  <c r="Y9" i="2"/>
  <c r="Y10" i="2" s="1"/>
  <c r="X9" i="2"/>
  <c r="W9" i="2"/>
  <c r="W10" i="2" s="1"/>
  <c r="V9" i="2"/>
  <c r="U9" i="2"/>
  <c r="U10" i="2" s="1"/>
  <c r="AB4" i="2"/>
  <c r="AA4" i="2"/>
  <c r="X26" i="2" l="1"/>
  <c r="X27" i="2" s="1"/>
  <c r="U27" i="2"/>
  <c r="W27" i="2"/>
  <c r="X10" i="2"/>
  <c r="X11" i="2" s="1"/>
  <c r="W19" i="2"/>
  <c r="U11" i="2"/>
  <c r="W11" i="2"/>
  <c r="V10" i="2"/>
  <c r="V11" i="2" s="1"/>
  <c r="Y11" i="2"/>
  <c r="U59" i="2"/>
  <c r="Y26" i="2"/>
  <c r="Y27" i="2" s="1"/>
  <c r="V27" i="2"/>
  <c r="U66" i="2"/>
  <c r="U18" i="2"/>
  <c r="U19" i="2" s="1"/>
  <c r="V66" i="2"/>
  <c r="W66" i="2"/>
  <c r="Y66" i="2"/>
  <c r="Y67" i="2" s="1"/>
  <c r="V58" i="2"/>
  <c r="V59" i="2" s="1"/>
  <c r="X58" i="2"/>
  <c r="Y58" i="2"/>
  <c r="Y59" i="2" s="1"/>
  <c r="U50" i="2"/>
  <c r="U51" i="2" s="1"/>
  <c r="V50" i="2"/>
  <c r="V51" i="2" s="1"/>
  <c r="W50" i="2"/>
  <c r="W51" i="2" s="1"/>
  <c r="X50" i="2"/>
  <c r="X51" i="2" s="1"/>
  <c r="Y50" i="2"/>
  <c r="Y51" i="2" s="1"/>
  <c r="U42" i="2"/>
  <c r="U43" i="2" s="1"/>
  <c r="W43" i="2"/>
  <c r="V42" i="2"/>
  <c r="V43" i="2" s="1"/>
  <c r="X42" i="2"/>
  <c r="X43" i="2" s="1"/>
  <c r="U35" i="2"/>
  <c r="V34" i="2"/>
  <c r="V35" i="2" s="1"/>
  <c r="Y35" i="2"/>
  <c r="W34" i="2"/>
  <c r="W35" i="2" s="1"/>
  <c r="X34" i="2"/>
  <c r="V18" i="2"/>
  <c r="V19" i="2" s="1"/>
  <c r="X18" i="2"/>
  <c r="X19" i="2" s="1"/>
  <c r="Y18" i="2"/>
  <c r="W67" i="2" l="1"/>
  <c r="X59" i="2"/>
  <c r="X35" i="2"/>
  <c r="Y19" i="2"/>
  <c r="Q6" i="1" l="1"/>
  <c r="T6" i="1" s="1"/>
  <c r="Q4" i="1" s="1"/>
  <c r="K55" i="1"/>
  <c r="F4" i="1"/>
  <c r="R4" i="1"/>
  <c r="T55" i="1"/>
  <c r="U55" i="1"/>
  <c r="S55" i="1"/>
  <c r="T48" i="1"/>
  <c r="U48" i="1"/>
  <c r="S48" i="1"/>
  <c r="T41" i="1"/>
  <c r="U41" i="1"/>
  <c r="S41" i="1"/>
  <c r="T34" i="1"/>
  <c r="U34" i="1"/>
  <c r="S34" i="1"/>
  <c r="T27" i="1"/>
  <c r="U27" i="1"/>
  <c r="S27" i="1"/>
  <c r="T20" i="1"/>
  <c r="U20" i="1"/>
  <c r="S20" i="1"/>
  <c r="T13" i="1"/>
  <c r="U13" i="1"/>
  <c r="S13" i="1"/>
  <c r="U6" i="1"/>
  <c r="S6" i="1"/>
  <c r="K6" i="1"/>
  <c r="P6" i="1"/>
  <c r="H4" i="1"/>
  <c r="G4" i="1"/>
  <c r="I4" i="1"/>
  <c r="L55" i="1"/>
  <c r="M55" i="1"/>
  <c r="N55" i="1"/>
  <c r="O55" i="1"/>
  <c r="J4" i="1" s="1"/>
  <c r="L48" i="1"/>
  <c r="M48" i="1"/>
  <c r="N48" i="1"/>
  <c r="O48" i="1"/>
  <c r="K48" i="1"/>
  <c r="L41" i="1"/>
  <c r="M41" i="1"/>
  <c r="N41" i="1"/>
  <c r="O41" i="1"/>
  <c r="K41" i="1"/>
  <c r="L34" i="1"/>
  <c r="M34" i="1"/>
  <c r="N34" i="1"/>
  <c r="O34" i="1"/>
  <c r="K34" i="1"/>
  <c r="L27" i="1"/>
  <c r="M27" i="1"/>
  <c r="N27" i="1"/>
  <c r="O27" i="1"/>
  <c r="K27" i="1"/>
  <c r="L20" i="1"/>
  <c r="M20" i="1"/>
  <c r="N20" i="1"/>
  <c r="O20" i="1"/>
  <c r="K20" i="1"/>
  <c r="L13" i="1"/>
  <c r="M13" i="1"/>
  <c r="N13" i="1"/>
  <c r="O13" i="1"/>
  <c r="K13" i="1"/>
  <c r="L6" i="1"/>
  <c r="M6" i="1"/>
  <c r="N6" i="1"/>
  <c r="O6" i="1"/>
  <c r="D6" i="1"/>
  <c r="D55" i="1"/>
  <c r="D48" i="1"/>
  <c r="D41" i="1"/>
  <c r="D34" i="1"/>
  <c r="D27" i="1"/>
  <c r="D20" i="1"/>
  <c r="D13" i="1"/>
  <c r="F6" i="1"/>
</calcChain>
</file>

<file path=xl/sharedStrings.xml><?xml version="1.0" encoding="utf-8"?>
<sst xmlns="http://schemas.openxmlformats.org/spreadsheetml/2006/main" count="313" uniqueCount="33">
  <si>
    <t xml:space="preserve">Set </t>
  </si>
  <si>
    <t>01B</t>
  </si>
  <si>
    <t>08.02.mod</t>
  </si>
  <si>
    <t>Cheapest Insertion</t>
  </si>
  <si>
    <t>mechanism</t>
  </si>
  <si>
    <t>Random</t>
  </si>
  <si>
    <t>Best Cost</t>
  </si>
  <si>
    <t>WD</t>
  </si>
  <si>
    <t>TWW</t>
  </si>
  <si>
    <t>TWN</t>
  </si>
  <si>
    <t>Distance</t>
  </si>
  <si>
    <t>Time</t>
  </si>
  <si>
    <t>WT</t>
  </si>
  <si>
    <t>TWE</t>
  </si>
  <si>
    <t>TWL</t>
  </si>
  <si>
    <t>iter</t>
  </si>
  <si>
    <t>cost</t>
  </si>
  <si>
    <t>Initial (CIH)</t>
  </si>
  <si>
    <t>ALNS</t>
  </si>
  <si>
    <t>CIH</t>
  </si>
  <si>
    <t>RK2</t>
  </si>
  <si>
    <t>RK3</t>
  </si>
  <si>
    <t>std</t>
  </si>
  <si>
    <t>imp</t>
  </si>
  <si>
    <t>Set</t>
  </si>
  <si>
    <t>08.02.m</t>
  </si>
  <si>
    <t>RD</t>
  </si>
  <si>
    <t>BC</t>
  </si>
  <si>
    <t>average</t>
  </si>
  <si>
    <t>Random Destructor</t>
  </si>
  <si>
    <t>CIP</t>
  </si>
  <si>
    <t>K2R</t>
  </si>
  <si>
    <t>K3R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</si>
</sst>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i/>
      <sz val="11"/>
      <color rgb="FFFF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2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2" fillId="4" borderId="3" xfId="0" applyFont="1" applyFill="1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5" xfId="0" applyBorder="1"/>
    <xf numFmtId="0" fontId="0" fillId="0" borderId="4" xfId="0" applyBorder="1"/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2" fillId="5" borderId="9" xfId="0" applyFont="1" applyFill="1" applyBorder="1"/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2" fillId="5" borderId="1" xfId="0" applyFont="1" applyFill="1" applyBorder="1"/>
    <xf numFmtId="0" fontId="0" fillId="6" borderId="0" xfId="0" applyFill="1"/>
    <xf numFmtId="0" fontId="0" fillId="6" borderId="2" xfId="0" applyFill="1" applyBorder="1"/>
    <xf numFmtId="10" fontId="2" fillId="5" borderId="9" xfId="1" applyNumberFormat="1" applyFont="1" applyFill="1" applyBorder="1"/>
    <xf numFmtId="10" fontId="0" fillId="0" borderId="10" xfId="1" applyNumberFormat="1" applyFont="1" applyBorder="1"/>
    <xf numFmtId="10" fontId="0" fillId="0" borderId="11" xfId="1" applyNumberFormat="1" applyFont="1" applyBorder="1"/>
    <xf numFmtId="10" fontId="0" fillId="0" borderId="1" xfId="1" applyNumberFormat="1" applyFont="1" applyBorder="1"/>
    <xf numFmtId="164" fontId="0" fillId="0" borderId="1" xfId="1" applyNumberFormat="1" applyFont="1" applyBorder="1"/>
    <xf numFmtId="164" fontId="2" fillId="5" borderId="1" xfId="1" applyNumberFormat="1" applyFont="1" applyFill="1" applyBorder="1"/>
    <xf numFmtId="3" fontId="0" fillId="0" borderId="0" xfId="0" applyNumberFormat="1"/>
    <xf numFmtId="0" fontId="2" fillId="4" borderId="1" xfId="0" applyFont="1" applyFill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5" fillId="7" borderId="9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0" fontId="5" fillId="7" borderId="11" xfId="0" applyFont="1" applyFill="1" applyBorder="1" applyAlignment="1">
      <alignment horizontal="center"/>
    </xf>
    <xf numFmtId="0" fontId="4" fillId="7" borderId="8" xfId="0" applyFont="1" applyFill="1" applyBorder="1" applyAlignment="1">
      <alignment horizontal="center"/>
    </xf>
    <xf numFmtId="0" fontId="5" fillId="7" borderId="12" xfId="0" applyFont="1" applyFill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0" fillId="8" borderId="0" xfId="0" applyFill="1"/>
    <xf numFmtId="0" fontId="0" fillId="8" borderId="2" xfId="0" applyFill="1" applyBorder="1"/>
    <xf numFmtId="0" fontId="2" fillId="8" borderId="0" xfId="0" applyFont="1" applyFill="1" applyAlignment="1">
      <alignment horizontal="center"/>
    </xf>
    <xf numFmtId="164" fontId="2" fillId="8" borderId="0" xfId="1" applyNumberFormat="1" applyFont="1" applyFill="1" applyBorder="1"/>
    <xf numFmtId="164" fontId="3" fillId="8" borderId="0" xfId="1" applyNumberFormat="1" applyFont="1" applyFill="1" applyBorder="1"/>
    <xf numFmtId="10" fontId="3" fillId="8" borderId="12" xfId="1" applyNumberFormat="1" applyFont="1" applyFill="1" applyBorder="1"/>
    <xf numFmtId="164" fontId="0" fillId="8" borderId="0" xfId="1" applyNumberFormat="1" applyFont="1" applyFill="1" applyBorder="1"/>
    <xf numFmtId="10" fontId="3" fillId="8" borderId="1" xfId="1" applyNumberFormat="1" applyFont="1" applyFill="1" applyBorder="1"/>
    <xf numFmtId="0" fontId="0" fillId="8" borderId="0" xfId="0" applyFill="1" applyAlignment="1">
      <alignment horizontal="center"/>
    </xf>
    <xf numFmtId="0" fontId="0" fillId="8" borderId="2" xfId="0" applyFill="1" applyBorder="1" applyAlignment="1">
      <alignment horizontal="center"/>
    </xf>
    <xf numFmtId="0" fontId="4" fillId="8" borderId="0" xfId="0" applyFont="1" applyFill="1" applyAlignment="1">
      <alignment horizontal="center" vertical="center"/>
    </xf>
    <xf numFmtId="0" fontId="1" fillId="8" borderId="7" xfId="0" applyFont="1" applyFill="1" applyBorder="1" applyAlignment="1">
      <alignment horizontal="center" vertical="center" wrapText="1"/>
    </xf>
    <xf numFmtId="10" fontId="0" fillId="8" borderId="0" xfId="1" applyNumberFormat="1" applyFont="1" applyFill="1" applyBorder="1"/>
    <xf numFmtId="0" fontId="0" fillId="8" borderId="7" xfId="0" applyFill="1" applyBorder="1" applyAlignment="1">
      <alignment horizontal="center" vertical="center" wrapText="1"/>
    </xf>
    <xf numFmtId="10" fontId="3" fillId="8" borderId="0" xfId="1" applyNumberFormat="1" applyFont="1" applyFill="1" applyBorder="1"/>
    <xf numFmtId="10" fontId="0" fillId="0" borderId="3" xfId="1" applyNumberFormat="1" applyFont="1" applyBorder="1"/>
    <xf numFmtId="10" fontId="0" fillId="8" borderId="2" xfId="1" applyNumberFormat="1" applyFont="1" applyFill="1" applyBorder="1"/>
    <xf numFmtId="9" fontId="0" fillId="8" borderId="2" xfId="1" applyFont="1" applyFill="1" applyBorder="1"/>
    <xf numFmtId="10" fontId="0" fillId="8" borderId="2" xfId="0" applyNumberFormat="1" applyFill="1" applyBorder="1"/>
    <xf numFmtId="10" fontId="0" fillId="8" borderId="0" xfId="0" applyNumberFormat="1" applyFill="1"/>
    <xf numFmtId="9" fontId="0" fillId="8" borderId="0" xfId="1" applyFont="1" applyFill="1" applyBorder="1"/>
    <xf numFmtId="10" fontId="2" fillId="0" borderId="9" xfId="1" applyNumberFormat="1" applyFont="1" applyFill="1" applyBorder="1"/>
    <xf numFmtId="10" fontId="0" fillId="8" borderId="0" xfId="1" applyNumberFormat="1" applyFont="1" applyFill="1"/>
    <xf numFmtId="10" fontId="3" fillId="6" borderId="0" xfId="1" applyNumberFormat="1" applyFont="1" applyFill="1" applyBorder="1"/>
    <xf numFmtId="0" fontId="1" fillId="2" borderId="7" xfId="0" applyFont="1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6" fillId="7" borderId="10" xfId="0" applyFont="1" applyFill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7" borderId="11" xfId="0" applyFont="1" applyFill="1" applyBorder="1" applyAlignment="1">
      <alignment horizontal="center"/>
    </xf>
    <xf numFmtId="0" fontId="0" fillId="8" borderId="0" xfId="0" applyFill="1" applyBorder="1"/>
    <xf numFmtId="0" fontId="0" fillId="0" borderId="0" xfId="0" applyBorder="1"/>
    <xf numFmtId="0" fontId="2" fillId="3" borderId="0" xfId="0" applyFont="1" applyFill="1" applyBorder="1" applyAlignment="1">
      <alignment horizontal="center"/>
    </xf>
    <xf numFmtId="10" fontId="2" fillId="5" borderId="13" xfId="1" applyNumberFormat="1" applyFont="1" applyFill="1" applyBorder="1"/>
    <xf numFmtId="10" fontId="2" fillId="0" borderId="13" xfId="1" applyNumberFormat="1" applyFont="1" applyFill="1" applyBorder="1"/>
    <xf numFmtId="0" fontId="2" fillId="8" borderId="13" xfId="0" applyFont="1" applyFill="1" applyBorder="1" applyAlignment="1">
      <alignment horizontal="center"/>
    </xf>
    <xf numFmtId="164" fontId="2" fillId="8" borderId="14" xfId="1" applyNumberFormat="1" applyFont="1" applyFill="1" applyBorder="1"/>
    <xf numFmtId="10" fontId="3" fillId="6" borderId="14" xfId="1" applyNumberFormat="1" applyFont="1" applyFill="1" applyBorder="1"/>
    <xf numFmtId="10" fontId="3" fillId="8" borderId="8" xfId="1" applyNumberFormat="1" applyFont="1" applyFill="1" applyBorder="1"/>
    <xf numFmtId="0" fontId="1" fillId="2" borderId="15" xfId="0" applyFont="1" applyFill="1" applyBorder="1" applyAlignment="1">
      <alignment horizontal="center" vertical="center" wrapText="1"/>
    </xf>
    <xf numFmtId="0" fontId="0" fillId="0" borderId="16" xfId="0" applyBorder="1"/>
    <xf numFmtId="0" fontId="1" fillId="2" borderId="17" xfId="0" applyFont="1" applyFill="1" applyBorder="1" applyAlignment="1">
      <alignment horizontal="center" vertical="center" wrapText="1"/>
    </xf>
    <xf numFmtId="0" fontId="0" fillId="6" borderId="0" xfId="0" applyFill="1" applyBorder="1"/>
    <xf numFmtId="0" fontId="1" fillId="2" borderId="18" xfId="0" applyFont="1" applyFill="1" applyBorder="1" applyAlignment="1">
      <alignment horizontal="center" vertical="center" wrapText="1"/>
    </xf>
    <xf numFmtId="0" fontId="0" fillId="0" borderId="19" xfId="0" applyBorder="1"/>
    <xf numFmtId="0" fontId="0" fillId="0" borderId="20" xfId="0" applyBorder="1"/>
    <xf numFmtId="0" fontId="1" fillId="8" borderId="21" xfId="0" applyFont="1" applyFill="1" applyBorder="1" applyAlignment="1">
      <alignment horizontal="center" vertical="center" wrapText="1"/>
    </xf>
    <xf numFmtId="0" fontId="0" fillId="8" borderId="14" xfId="0" applyFill="1" applyBorder="1"/>
    <xf numFmtId="10" fontId="3" fillId="8" borderId="14" xfId="1" applyNumberFormat="1" applyFont="1" applyFill="1" applyBorder="1"/>
    <xf numFmtId="10" fontId="0" fillId="8" borderId="22" xfId="1" applyNumberFormat="1" applyFont="1" applyFill="1" applyBorder="1"/>
    <xf numFmtId="0" fontId="0" fillId="2" borderId="17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9" xfId="0" applyBorder="1"/>
    <xf numFmtId="0" fontId="0" fillId="0" borderId="23" xfId="0" applyBorder="1"/>
    <xf numFmtId="0" fontId="2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0" borderId="11" xfId="0" applyFont="1" applyBorder="1" applyAlignment="1">
      <alignment horizontal="center" wrapText="1"/>
    </xf>
    <xf numFmtId="0" fontId="0" fillId="0" borderId="25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10" fontId="0" fillId="0" borderId="0" xfId="1" applyNumberFormat="1" applyFont="1"/>
    <xf numFmtId="10" fontId="0" fillId="0" borderId="2" xfId="1" applyNumberFormat="1" applyFont="1" applyBorder="1"/>
    <xf numFmtId="10" fontId="0" fillId="0" borderId="0" xfId="1" applyNumberFormat="1" applyFont="1" applyBorder="1"/>
    <xf numFmtId="0" fontId="0" fillId="0" borderId="26" xfId="0" applyBorder="1"/>
    <xf numFmtId="0" fontId="0" fillId="0" borderId="27" xfId="0" applyBorder="1" applyAlignment="1">
      <alignment horizontal="center"/>
    </xf>
    <xf numFmtId="10" fontId="0" fillId="0" borderId="26" xfId="1" applyNumberFormat="1" applyFont="1" applyBorder="1"/>
    <xf numFmtId="10" fontId="0" fillId="0" borderId="27" xfId="1" applyNumberFormat="1" applyFont="1" applyBorder="1"/>
    <xf numFmtId="0" fontId="0" fillId="0" borderId="27" xfId="0" applyBorder="1"/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10" fontId="0" fillId="0" borderId="24" xfId="1" applyNumberFormat="1" applyFont="1" applyBorder="1"/>
    <xf numFmtId="0" fontId="0" fillId="0" borderId="30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 applyAlignment="1">
      <alignment horizontal="center" vertical="center"/>
    </xf>
    <xf numFmtId="9" fontId="0" fillId="0" borderId="0" xfId="1" applyFont="1" applyBorder="1"/>
    <xf numFmtId="9" fontId="0" fillId="0" borderId="0" xfId="1" applyNumberFormat="1" applyFont="1" applyBorder="1"/>
    <xf numFmtId="10" fontId="0" fillId="0" borderId="31" xfId="1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A7C5C-B389-4E39-8B08-9F0731D281A2}">
  <dimension ref="A1:U67"/>
  <sheetViews>
    <sheetView topLeftCell="D1" workbookViewId="0">
      <pane ySplit="3" topLeftCell="A4" activePane="bottomLeft" state="frozen"/>
      <selection pane="bottomLeft" activeCell="W9" sqref="W9"/>
    </sheetView>
  </sheetViews>
  <sheetFormatPr defaultRowHeight="14.4" x14ac:dyDescent="0.3"/>
  <cols>
    <col min="2" max="2" width="8.88671875" style="3"/>
    <col min="3" max="3" width="9.88671875" style="3" customWidth="1"/>
    <col min="4" max="4" width="8.88671875" style="3"/>
    <col min="5" max="5" width="10.77734375" style="3" bestFit="1" customWidth="1"/>
    <col min="6" max="6" width="10.88671875" customWidth="1"/>
    <col min="7" max="7" width="11.6640625" customWidth="1"/>
    <col min="8" max="8" width="9.109375" customWidth="1"/>
    <col min="9" max="9" width="10.21875" customWidth="1"/>
    <col min="10" max="10" width="10.5546875" style="3" customWidth="1"/>
    <col min="15" max="15" width="8.88671875" style="3"/>
    <col min="18" max="18" width="8.88671875" style="3"/>
  </cols>
  <sheetData>
    <row r="1" spans="1:21" s="8" customFormat="1" x14ac:dyDescent="0.3">
      <c r="B1" s="7"/>
      <c r="C1" s="7"/>
      <c r="D1" s="7"/>
      <c r="E1" s="7"/>
      <c r="J1" s="7"/>
      <c r="O1" s="7"/>
      <c r="R1" s="7"/>
    </row>
    <row r="2" spans="1:21" s="1" customFormat="1" x14ac:dyDescent="0.3">
      <c r="B2" s="5"/>
      <c r="C2" s="5"/>
      <c r="D2" s="5"/>
      <c r="E2" s="5"/>
      <c r="F2" s="66" t="s">
        <v>3</v>
      </c>
      <c r="G2" s="66"/>
      <c r="H2" s="66"/>
      <c r="I2" s="66"/>
      <c r="J2" s="66"/>
      <c r="O2" s="5"/>
      <c r="P2" s="67" t="s">
        <v>5</v>
      </c>
      <c r="Q2" s="67"/>
      <c r="R2" s="67"/>
    </row>
    <row r="3" spans="1:21" s="1" customFormat="1" ht="15" thickBot="1" x14ac:dyDescent="0.35">
      <c r="B3" s="5"/>
      <c r="C3" s="5"/>
      <c r="D3" s="5"/>
      <c r="E3" s="4" t="s">
        <v>4</v>
      </c>
      <c r="F3" s="17" t="s">
        <v>5</v>
      </c>
      <c r="G3" s="12" t="s">
        <v>6</v>
      </c>
      <c r="H3" s="12" t="s">
        <v>7</v>
      </c>
      <c r="I3" s="12" t="s">
        <v>8</v>
      </c>
      <c r="J3" s="13" t="s">
        <v>9</v>
      </c>
      <c r="O3" s="5"/>
      <c r="P3" s="9" t="s">
        <v>19</v>
      </c>
      <c r="Q3" s="18" t="s">
        <v>20</v>
      </c>
      <c r="R3" s="10" t="s">
        <v>21</v>
      </c>
    </row>
    <row r="4" spans="1:21" s="1" customFormat="1" ht="15" thickBot="1" x14ac:dyDescent="0.35">
      <c r="B4" s="5"/>
      <c r="C4" s="5" t="s">
        <v>17</v>
      </c>
      <c r="D4" s="5" t="s">
        <v>18</v>
      </c>
      <c r="E4" s="11" t="s">
        <v>0</v>
      </c>
      <c r="F4" s="16">
        <f>(K6+K13+K20+K27+K34+K41+K48+K55)/8</f>
        <v>6.9033093056079435</v>
      </c>
      <c r="G4" s="14">
        <f>(L6+L13+L20+L27+L34+L41+L48+L55)/8</f>
        <v>6.4215869697890753</v>
      </c>
      <c r="H4" s="14">
        <f>(M6+M13+M20+M27+M34+M41+M48+M55)/8</f>
        <v>6.7089122242213293</v>
      </c>
      <c r="I4" s="14">
        <f t="shared" ref="I4:J4" si="0">(N6+N13+N20+N27+N34+N41+N48+N55)/8</f>
        <v>6.8944040650558165</v>
      </c>
      <c r="J4" s="15">
        <f t="shared" si="0"/>
        <v>6.6927202793072649</v>
      </c>
      <c r="K4" s="2" t="s">
        <v>5</v>
      </c>
      <c r="L4" s="2" t="s">
        <v>6</v>
      </c>
      <c r="M4" s="2" t="s">
        <v>7</v>
      </c>
      <c r="N4" s="2" t="s">
        <v>8</v>
      </c>
      <c r="O4" s="6" t="s">
        <v>9</v>
      </c>
      <c r="P4" s="1">
        <f>(S6+S13+S20+S27+S34+S41+S48+S55)/8</f>
        <v>6.895398914518208</v>
      </c>
      <c r="Q4" s="19">
        <f>(T6+T13+T20+T27+T34+T41+T48+T55)/8</f>
        <v>7.044196387831966</v>
      </c>
      <c r="R4" s="1">
        <f>(U6+U13+U20+U27+U34+U41+U48+U55)/8</f>
        <v>6.7466856445908467</v>
      </c>
      <c r="S4" s="9" t="s">
        <v>19</v>
      </c>
      <c r="T4" s="9" t="s">
        <v>20</v>
      </c>
      <c r="U4" s="10" t="s">
        <v>21</v>
      </c>
    </row>
    <row r="5" spans="1:21" x14ac:dyDescent="0.3">
      <c r="A5">
        <v>0.229742</v>
      </c>
      <c r="B5" s="3" t="s">
        <v>15</v>
      </c>
      <c r="E5" s="68" t="s">
        <v>1</v>
      </c>
      <c r="F5">
        <v>330</v>
      </c>
      <c r="G5">
        <v>18</v>
      </c>
      <c r="H5">
        <v>9</v>
      </c>
      <c r="I5">
        <v>434</v>
      </c>
      <c r="J5">
        <v>1117</v>
      </c>
      <c r="P5">
        <v>330</v>
      </c>
    </row>
    <row r="6" spans="1:21" x14ac:dyDescent="0.3">
      <c r="B6" s="3" t="s">
        <v>16</v>
      </c>
      <c r="C6" s="3">
        <v>6500</v>
      </c>
      <c r="D6" s="3">
        <f xml:space="preserve"> 0.4 * D7 * A5 + 0.4 * D8 + 0.2 * D11</f>
        <v>6108.9387239999996</v>
      </c>
      <c r="E6" s="64"/>
      <c r="F6" s="20">
        <f xml:space="preserve"> 0.4 * F7 * 0.22974 + 0.4 * F8 + 0.2 * F11</f>
        <v>6031.4629520000008</v>
      </c>
      <c r="G6">
        <v>6095</v>
      </c>
      <c r="H6">
        <v>6095</v>
      </c>
      <c r="I6">
        <v>6084</v>
      </c>
      <c r="J6" s="20">
        <v>6031</v>
      </c>
      <c r="K6" s="20">
        <f>(($C$6-F6)/$C$6)*100</f>
        <v>7.2082622769230653</v>
      </c>
      <c r="L6">
        <f t="shared" ref="L6:O6" si="1">(($C$6-G6)/$C$6)*100</f>
        <v>6.2307692307692308</v>
      </c>
      <c r="M6">
        <f t="shared" si="1"/>
        <v>6.2307692307692308</v>
      </c>
      <c r="N6">
        <f t="shared" si="1"/>
        <v>6.4</v>
      </c>
      <c r="O6" s="21">
        <f t="shared" si="1"/>
        <v>7.2153846153846155</v>
      </c>
      <c r="P6">
        <f xml:space="preserve"> 0.4 * P7 * 0.22974 + 0.4 * P8 + 0.2 * P11</f>
        <v>6031.4629520000008</v>
      </c>
      <c r="Q6">
        <f xml:space="preserve"> 0.4 * Q7 * 0.22974 + 0.4 * Q8 + 0.2 * Q11</f>
        <v>6031.4629520000008</v>
      </c>
      <c r="R6" s="3">
        <v>6084.0919264562799</v>
      </c>
      <c r="S6" s="20">
        <f>(($C$6-P6)/$C$6)*100</f>
        <v>7.2082622769230653</v>
      </c>
      <c r="T6" s="20">
        <f>(($C$6-Q6)/$C$6)*100</f>
        <v>7.2082622769230653</v>
      </c>
      <c r="U6">
        <f>(($C$6-R6)/$C$6)*100</f>
        <v>6.3985857468264626</v>
      </c>
    </row>
    <row r="7" spans="1:21" x14ac:dyDescent="0.3">
      <c r="B7" s="3" t="s">
        <v>10</v>
      </c>
      <c r="D7" s="3">
        <v>20555</v>
      </c>
      <c r="E7" s="64"/>
      <c r="F7">
        <v>20587</v>
      </c>
      <c r="G7">
        <v>20547</v>
      </c>
      <c r="H7">
        <v>20547</v>
      </c>
      <c r="I7">
        <v>20611</v>
      </c>
      <c r="J7">
        <v>20587</v>
      </c>
      <c r="P7">
        <v>20587</v>
      </c>
      <c r="Q7">
        <v>20587</v>
      </c>
      <c r="R7" s="3">
        <v>20611</v>
      </c>
    </row>
    <row r="8" spans="1:21" x14ac:dyDescent="0.3">
      <c r="B8" s="3" t="s">
        <v>11</v>
      </c>
      <c r="D8" s="3">
        <v>10550</v>
      </c>
      <c r="E8" s="64"/>
      <c r="F8">
        <v>10349</v>
      </c>
      <c r="G8">
        <v>10519</v>
      </c>
      <c r="H8">
        <v>10519</v>
      </c>
      <c r="I8">
        <v>10475</v>
      </c>
      <c r="J8">
        <v>10349</v>
      </c>
      <c r="P8">
        <v>10349</v>
      </c>
      <c r="Q8">
        <v>10349</v>
      </c>
      <c r="R8" s="3">
        <v>10475</v>
      </c>
    </row>
    <row r="9" spans="1:21" x14ac:dyDescent="0.3">
      <c r="B9" s="3" t="s">
        <v>12</v>
      </c>
      <c r="D9" s="3">
        <v>0</v>
      </c>
      <c r="E9" s="64"/>
      <c r="F9">
        <v>0</v>
      </c>
      <c r="G9">
        <v>0</v>
      </c>
      <c r="H9">
        <v>0</v>
      </c>
      <c r="I9">
        <v>0</v>
      </c>
      <c r="J9">
        <v>0</v>
      </c>
      <c r="P9">
        <v>0</v>
      </c>
      <c r="Q9">
        <v>0</v>
      </c>
      <c r="R9" s="3">
        <v>0</v>
      </c>
    </row>
    <row r="10" spans="1:21" x14ac:dyDescent="0.3">
      <c r="B10" s="3" t="s">
        <v>13</v>
      </c>
      <c r="D10" s="3">
        <v>0</v>
      </c>
      <c r="E10" s="64"/>
      <c r="F10">
        <v>0</v>
      </c>
      <c r="G10">
        <v>0</v>
      </c>
      <c r="H10">
        <v>0</v>
      </c>
      <c r="I10">
        <v>0</v>
      </c>
      <c r="J10">
        <v>0</v>
      </c>
      <c r="P10">
        <v>0</v>
      </c>
      <c r="Q10">
        <v>0</v>
      </c>
      <c r="R10" s="3">
        <v>0</v>
      </c>
    </row>
    <row r="11" spans="1:21" s="1" customFormat="1" x14ac:dyDescent="0.3">
      <c r="B11" s="5" t="s">
        <v>14</v>
      </c>
      <c r="C11" s="3"/>
      <c r="D11" s="3">
        <v>0</v>
      </c>
      <c r="E11" s="64"/>
      <c r="F11" s="1">
        <v>0</v>
      </c>
      <c r="G11" s="1">
        <v>0</v>
      </c>
      <c r="H11" s="1">
        <v>0</v>
      </c>
      <c r="I11" s="1">
        <v>0</v>
      </c>
      <c r="J11" s="1">
        <v>0</v>
      </c>
      <c r="O11" s="5"/>
      <c r="P11" s="1">
        <v>0</v>
      </c>
      <c r="Q11" s="1">
        <v>0</v>
      </c>
      <c r="R11" s="5">
        <v>0</v>
      </c>
    </row>
    <row r="12" spans="1:21" x14ac:dyDescent="0.3">
      <c r="A12">
        <v>0.13544900000000001</v>
      </c>
      <c r="B12" s="3" t="s">
        <v>15</v>
      </c>
      <c r="E12" s="65">
        <v>2</v>
      </c>
      <c r="F12">
        <v>695</v>
      </c>
      <c r="G12">
        <v>799</v>
      </c>
      <c r="H12">
        <v>578</v>
      </c>
      <c r="I12">
        <v>313</v>
      </c>
      <c r="J12" s="3">
        <v>500</v>
      </c>
      <c r="P12">
        <v>695</v>
      </c>
    </row>
    <row r="13" spans="1:21" x14ac:dyDescent="0.3">
      <c r="B13" s="3" t="s">
        <v>16</v>
      </c>
      <c r="C13" s="3">
        <v>14316</v>
      </c>
      <c r="D13" s="3">
        <f xml:space="preserve"> 0.4 * D14 * A12 + 0.4 * D15 + 0.2 * D18</f>
        <v>12053.229712800001</v>
      </c>
      <c r="E13" s="65"/>
      <c r="F13">
        <v>12465</v>
      </c>
      <c r="G13">
        <v>12493</v>
      </c>
      <c r="H13">
        <v>12510</v>
      </c>
      <c r="I13" s="20">
        <v>12401</v>
      </c>
      <c r="J13" s="3">
        <v>12516</v>
      </c>
      <c r="K13">
        <f>(($C$13-F13)/$C$13)*100</f>
        <v>12.929589270746019</v>
      </c>
      <c r="L13">
        <f t="shared" ref="L13:O13" si="2">(($C$13-G13)/$C$13)*100</f>
        <v>12.73400391170718</v>
      </c>
      <c r="M13">
        <f t="shared" si="2"/>
        <v>12.615255658005028</v>
      </c>
      <c r="N13" s="20">
        <f t="shared" si="2"/>
        <v>13.376641519977648</v>
      </c>
      <c r="O13" s="3">
        <f t="shared" si="2"/>
        <v>12.573344509639565</v>
      </c>
      <c r="P13">
        <v>12465</v>
      </c>
      <c r="Q13">
        <v>12353.277513007601</v>
      </c>
      <c r="R13" s="3">
        <v>12305.6997247493</v>
      </c>
      <c r="S13">
        <f>(($C$13-P13)/$C$13)*100</f>
        <v>12.929589270746019</v>
      </c>
      <c r="T13">
        <f t="shared" ref="T13:U13" si="3">(($C$13-Q13)/$C$13)*100</f>
        <v>13.709992225428886</v>
      </c>
      <c r="U13" s="20">
        <f t="shared" si="3"/>
        <v>14.042332182527941</v>
      </c>
    </row>
    <row r="14" spans="1:21" x14ac:dyDescent="0.3">
      <c r="B14" s="3" t="s">
        <v>10</v>
      </c>
      <c r="D14" s="3">
        <v>73818</v>
      </c>
      <c r="E14" s="65"/>
      <c r="F14">
        <v>77983</v>
      </c>
      <c r="G14">
        <v>77769</v>
      </c>
      <c r="H14">
        <v>79194</v>
      </c>
      <c r="I14">
        <v>77268</v>
      </c>
      <c r="J14" s="3">
        <v>77347</v>
      </c>
      <c r="P14">
        <v>77983</v>
      </c>
      <c r="Q14">
        <v>77388</v>
      </c>
      <c r="R14" s="3">
        <v>77178</v>
      </c>
    </row>
    <row r="15" spans="1:21" x14ac:dyDescent="0.3">
      <c r="B15" s="3" t="s">
        <v>11</v>
      </c>
      <c r="D15" s="3">
        <v>20017</v>
      </c>
      <c r="E15" s="65"/>
      <c r="F15">
        <v>20512</v>
      </c>
      <c r="G15">
        <v>20374</v>
      </c>
      <c r="H15">
        <v>20549</v>
      </c>
      <c r="I15">
        <v>20344</v>
      </c>
      <c r="J15" s="3">
        <v>20339</v>
      </c>
      <c r="P15">
        <v>20512</v>
      </c>
      <c r="Q15">
        <v>20401</v>
      </c>
      <c r="R15" s="3">
        <v>20267</v>
      </c>
    </row>
    <row r="16" spans="1:21" x14ac:dyDescent="0.3">
      <c r="B16" s="3" t="s">
        <v>12</v>
      </c>
      <c r="D16" s="3">
        <v>120</v>
      </c>
      <c r="E16" s="65"/>
      <c r="F16">
        <v>246</v>
      </c>
      <c r="G16">
        <v>42</v>
      </c>
      <c r="H16">
        <v>517</v>
      </c>
      <c r="I16">
        <v>460</v>
      </c>
      <c r="J16" s="3">
        <v>0</v>
      </c>
      <c r="P16">
        <v>246</v>
      </c>
      <c r="Q16">
        <v>1076</v>
      </c>
      <c r="R16" s="3">
        <v>1004</v>
      </c>
    </row>
    <row r="17" spans="1:21" x14ac:dyDescent="0.3">
      <c r="B17" s="3" t="s">
        <v>13</v>
      </c>
      <c r="D17" s="3">
        <v>456</v>
      </c>
      <c r="E17" s="65"/>
      <c r="F17">
        <v>280</v>
      </c>
      <c r="G17">
        <v>0</v>
      </c>
      <c r="H17">
        <v>174</v>
      </c>
      <c r="I17">
        <v>252</v>
      </c>
      <c r="J17" s="3">
        <v>213</v>
      </c>
      <c r="P17">
        <v>280</v>
      </c>
      <c r="Q17">
        <v>135</v>
      </c>
      <c r="R17" s="3">
        <v>98</v>
      </c>
    </row>
    <row r="18" spans="1:21" s="1" customFormat="1" x14ac:dyDescent="0.3">
      <c r="B18" s="5" t="s">
        <v>14</v>
      </c>
      <c r="C18" s="3"/>
      <c r="D18" s="3">
        <v>235</v>
      </c>
      <c r="E18" s="65"/>
      <c r="F18" s="1">
        <v>178</v>
      </c>
      <c r="G18" s="1">
        <v>651</v>
      </c>
      <c r="H18" s="1">
        <v>0</v>
      </c>
      <c r="I18" s="1">
        <v>386</v>
      </c>
      <c r="J18" s="5">
        <v>949</v>
      </c>
      <c r="O18" s="5"/>
      <c r="P18" s="1">
        <v>178</v>
      </c>
      <c r="Q18" s="1">
        <v>0</v>
      </c>
      <c r="R18" s="5">
        <v>87</v>
      </c>
    </row>
    <row r="19" spans="1:21" x14ac:dyDescent="0.3">
      <c r="A19">
        <v>0.1231511</v>
      </c>
      <c r="B19" s="3" t="s">
        <v>15</v>
      </c>
      <c r="E19" s="65">
        <v>3</v>
      </c>
      <c r="F19">
        <v>6</v>
      </c>
      <c r="G19">
        <v>5</v>
      </c>
      <c r="H19">
        <v>6</v>
      </c>
      <c r="I19">
        <v>9</v>
      </c>
      <c r="J19" s="3">
        <v>2</v>
      </c>
      <c r="P19">
        <v>6</v>
      </c>
    </row>
    <row r="20" spans="1:21" x14ac:dyDescent="0.3">
      <c r="B20" s="3" t="s">
        <v>16</v>
      </c>
      <c r="C20" s="3">
        <v>7623</v>
      </c>
      <c r="D20" s="3">
        <f xml:space="preserve"> 0.4 * D21 * A19 + 0.4 * D22 + 0.2 * D25</f>
        <v>6746.5333792000001</v>
      </c>
      <c r="E20" s="65"/>
      <c r="F20" s="20">
        <v>6746</v>
      </c>
      <c r="G20" s="20">
        <v>6746</v>
      </c>
      <c r="H20" s="20">
        <v>6746</v>
      </c>
      <c r="I20" s="20">
        <v>6746</v>
      </c>
      <c r="J20" s="20">
        <v>6746</v>
      </c>
      <c r="K20" s="20">
        <f>(($C$20-F20)/$C$20)*100</f>
        <v>11.504656959202414</v>
      </c>
      <c r="L20" s="20">
        <f t="shared" ref="L20:O20" si="4">(($C$20-G20)/$C$20)*100</f>
        <v>11.504656959202414</v>
      </c>
      <c r="M20" s="20">
        <f t="shared" si="4"/>
        <v>11.504656959202414</v>
      </c>
      <c r="N20" s="20">
        <f t="shared" si="4"/>
        <v>11.504656959202414</v>
      </c>
      <c r="O20" s="21">
        <f t="shared" si="4"/>
        <v>11.504656959202414</v>
      </c>
      <c r="P20">
        <v>6746</v>
      </c>
      <c r="Q20">
        <v>6746.5347293843597</v>
      </c>
      <c r="R20" s="3">
        <v>6746.5347293843597</v>
      </c>
      <c r="S20" s="20">
        <f>(($C$20-P20)/$C$20)*100</f>
        <v>11.504656959202414</v>
      </c>
      <c r="T20" s="20">
        <f t="shared" ref="T20:U20" si="5">(($C$20-Q20)/$C$20)*100</f>
        <v>11.497642274900175</v>
      </c>
      <c r="U20" s="20">
        <f t="shared" si="5"/>
        <v>11.497642274900175</v>
      </c>
    </row>
    <row r="21" spans="1:21" x14ac:dyDescent="0.3">
      <c r="B21" s="3" t="s">
        <v>10</v>
      </c>
      <c r="D21" s="3">
        <v>37680</v>
      </c>
      <c r="E21" s="65"/>
      <c r="F21">
        <v>37680</v>
      </c>
      <c r="G21">
        <v>37680</v>
      </c>
      <c r="H21">
        <v>37680</v>
      </c>
      <c r="I21">
        <v>37680</v>
      </c>
      <c r="J21">
        <v>37680</v>
      </c>
      <c r="P21">
        <v>37680</v>
      </c>
      <c r="Q21">
        <v>37680</v>
      </c>
      <c r="R21" s="3">
        <v>37680</v>
      </c>
    </row>
    <row r="22" spans="1:21" x14ac:dyDescent="0.3">
      <c r="B22" s="3" t="s">
        <v>11</v>
      </c>
      <c r="D22" s="3">
        <v>12226</v>
      </c>
      <c r="E22" s="65"/>
      <c r="F22">
        <v>12226</v>
      </c>
      <c r="G22">
        <v>12226</v>
      </c>
      <c r="H22">
        <v>12226</v>
      </c>
      <c r="I22">
        <v>12226</v>
      </c>
      <c r="J22">
        <v>12226</v>
      </c>
      <c r="P22">
        <v>12226</v>
      </c>
      <c r="Q22">
        <v>12226</v>
      </c>
      <c r="R22" s="3">
        <v>12226</v>
      </c>
    </row>
    <row r="23" spans="1:21" x14ac:dyDescent="0.3">
      <c r="B23" s="3" t="s">
        <v>12</v>
      </c>
      <c r="D23" s="3">
        <v>9541</v>
      </c>
      <c r="E23" s="65"/>
      <c r="F23">
        <v>9637</v>
      </c>
      <c r="G23">
        <v>9637</v>
      </c>
      <c r="H23">
        <v>9637</v>
      </c>
      <c r="I23">
        <v>9541</v>
      </c>
      <c r="J23">
        <v>9541</v>
      </c>
      <c r="P23">
        <v>9637</v>
      </c>
      <c r="Q23">
        <v>9637</v>
      </c>
      <c r="R23" s="3">
        <v>8745</v>
      </c>
    </row>
    <row r="24" spans="1:21" x14ac:dyDescent="0.3">
      <c r="B24" s="3" t="s">
        <v>13</v>
      </c>
      <c r="D24" s="3">
        <v>0</v>
      </c>
      <c r="E24" s="65"/>
      <c r="F24">
        <v>0</v>
      </c>
      <c r="G24">
        <v>0</v>
      </c>
      <c r="H24">
        <v>0</v>
      </c>
      <c r="I24">
        <v>0</v>
      </c>
      <c r="J24">
        <v>0</v>
      </c>
      <c r="P24">
        <v>0</v>
      </c>
      <c r="Q24">
        <v>0</v>
      </c>
      <c r="R24" s="3">
        <v>0</v>
      </c>
    </row>
    <row r="25" spans="1:21" s="1" customFormat="1" x14ac:dyDescent="0.3">
      <c r="B25" s="5" t="s">
        <v>14</v>
      </c>
      <c r="C25" s="3"/>
      <c r="D25" s="3">
        <v>0</v>
      </c>
      <c r="E25" s="65"/>
      <c r="F25" s="1">
        <v>0</v>
      </c>
      <c r="G25" s="1">
        <v>0</v>
      </c>
      <c r="H25" s="1">
        <v>0</v>
      </c>
      <c r="I25" s="1">
        <v>0</v>
      </c>
      <c r="J25" s="1">
        <v>0</v>
      </c>
      <c r="O25" s="5"/>
      <c r="P25" s="1">
        <v>0</v>
      </c>
      <c r="Q25" s="1">
        <v>0</v>
      </c>
      <c r="R25" s="5">
        <v>0</v>
      </c>
    </row>
    <row r="26" spans="1:21" x14ac:dyDescent="0.3">
      <c r="A26">
        <v>0.11086</v>
      </c>
      <c r="B26" s="3" t="s">
        <v>15</v>
      </c>
      <c r="E26" s="65">
        <v>5.16</v>
      </c>
      <c r="F26">
        <v>62</v>
      </c>
      <c r="G26">
        <v>63</v>
      </c>
      <c r="H26">
        <v>87</v>
      </c>
      <c r="I26">
        <v>54</v>
      </c>
      <c r="J26" s="3">
        <v>65</v>
      </c>
      <c r="P26">
        <v>62</v>
      </c>
    </row>
    <row r="27" spans="1:21" x14ac:dyDescent="0.3">
      <c r="B27" s="3" t="s">
        <v>16</v>
      </c>
      <c r="C27" s="3">
        <v>11586</v>
      </c>
      <c r="D27" s="3">
        <f xml:space="preserve"> 0.4 * D28 * A26 + 0.4 * D29 + 0.2 * D32</f>
        <v>10969.336879999999</v>
      </c>
      <c r="E27" s="65"/>
      <c r="F27">
        <v>11229</v>
      </c>
      <c r="G27">
        <v>11217</v>
      </c>
      <c r="H27">
        <v>11217</v>
      </c>
      <c r="I27">
        <v>11215</v>
      </c>
      <c r="J27" s="21">
        <v>11212</v>
      </c>
      <c r="K27">
        <f>(($C$27-F27)/$C$27)*100</f>
        <v>3.0813050233039876</v>
      </c>
      <c r="L27">
        <f t="shared" ref="L27:O27" si="6">(($C$27-G27)/$C$27)*100</f>
        <v>3.1848783013982391</v>
      </c>
      <c r="M27">
        <f t="shared" si="6"/>
        <v>3.1848783013982391</v>
      </c>
      <c r="N27">
        <f t="shared" si="6"/>
        <v>3.2021405144139479</v>
      </c>
      <c r="O27" s="21">
        <f t="shared" si="6"/>
        <v>3.228033833937511</v>
      </c>
      <c r="P27">
        <v>11229</v>
      </c>
      <c r="Q27">
        <v>11220.1549834781</v>
      </c>
      <c r="R27" s="3">
        <v>11192.774082144801</v>
      </c>
      <c r="S27">
        <f>(($C$27-P27)/$C$27)*100</f>
        <v>3.0813050233039876</v>
      </c>
      <c r="T27">
        <f t="shared" ref="T27:U27" si="7">(($C$27-Q27)/$C$27)*100</f>
        <v>3.1576473029682384</v>
      </c>
      <c r="U27" s="20">
        <f t="shared" si="7"/>
        <v>3.3939747786569949</v>
      </c>
    </row>
    <row r="28" spans="1:21" x14ac:dyDescent="0.3">
      <c r="B28" s="3" t="s">
        <v>10</v>
      </c>
      <c r="D28" s="3">
        <v>43770</v>
      </c>
      <c r="E28" s="65"/>
      <c r="F28">
        <v>46378</v>
      </c>
      <c r="G28">
        <v>46038</v>
      </c>
      <c r="H28">
        <v>46038</v>
      </c>
      <c r="I28">
        <v>46284</v>
      </c>
      <c r="J28" s="3">
        <v>45661</v>
      </c>
      <c r="P28">
        <v>46378</v>
      </c>
      <c r="Q28">
        <v>46221</v>
      </c>
      <c r="R28" s="3">
        <v>46253</v>
      </c>
    </row>
    <row r="29" spans="1:21" x14ac:dyDescent="0.3">
      <c r="B29" s="3" t="s">
        <v>11</v>
      </c>
      <c r="D29">
        <v>22571</v>
      </c>
      <c r="E29" s="65"/>
      <c r="F29">
        <v>22931</v>
      </c>
      <c r="G29">
        <v>22939</v>
      </c>
      <c r="H29">
        <v>22939</v>
      </c>
      <c r="I29">
        <v>22908</v>
      </c>
      <c r="J29" s="3">
        <v>22969</v>
      </c>
      <c r="P29">
        <v>22931</v>
      </c>
      <c r="Q29">
        <v>22926</v>
      </c>
      <c r="R29" s="3">
        <v>22854</v>
      </c>
    </row>
    <row r="30" spans="1:21" x14ac:dyDescent="0.3">
      <c r="B30" s="3" t="s">
        <v>12</v>
      </c>
      <c r="D30" s="3">
        <v>0</v>
      </c>
      <c r="E30" s="65"/>
      <c r="F30">
        <v>0</v>
      </c>
      <c r="G30">
        <v>0</v>
      </c>
      <c r="H30">
        <v>0</v>
      </c>
      <c r="I30">
        <v>0</v>
      </c>
      <c r="J30" s="3">
        <v>0</v>
      </c>
      <c r="P30">
        <v>0</v>
      </c>
      <c r="Q30">
        <v>0</v>
      </c>
      <c r="R30" s="3">
        <v>0</v>
      </c>
    </row>
    <row r="31" spans="1:21" x14ac:dyDescent="0.3">
      <c r="B31" s="3" t="s">
        <v>13</v>
      </c>
      <c r="D31" s="3">
        <v>0</v>
      </c>
      <c r="E31" s="65"/>
      <c r="F31">
        <v>0</v>
      </c>
      <c r="G31">
        <v>0</v>
      </c>
      <c r="H31">
        <v>0</v>
      </c>
      <c r="I31">
        <v>0</v>
      </c>
      <c r="J31" s="3">
        <v>0</v>
      </c>
      <c r="P31">
        <v>0</v>
      </c>
      <c r="Q31">
        <v>0</v>
      </c>
      <c r="R31" s="3">
        <v>0</v>
      </c>
    </row>
    <row r="32" spans="1:21" s="1" customFormat="1" x14ac:dyDescent="0.3">
      <c r="B32" s="5" t="s">
        <v>14</v>
      </c>
      <c r="C32" s="3"/>
      <c r="D32" s="3">
        <v>0</v>
      </c>
      <c r="E32" s="65"/>
      <c r="F32" s="1">
        <v>0</v>
      </c>
      <c r="G32" s="1">
        <v>0</v>
      </c>
      <c r="H32" s="1">
        <v>0</v>
      </c>
      <c r="I32" s="1">
        <v>0</v>
      </c>
      <c r="J32" s="5">
        <v>0</v>
      </c>
      <c r="O32" s="5"/>
      <c r="P32" s="1">
        <v>0</v>
      </c>
      <c r="Q32" s="1">
        <v>0</v>
      </c>
      <c r="R32" s="5">
        <v>0</v>
      </c>
    </row>
    <row r="33" spans="1:21" x14ac:dyDescent="0.3">
      <c r="A33">
        <v>8.3129999999999996E-2</v>
      </c>
      <c r="B33" s="3" t="s">
        <v>15</v>
      </c>
      <c r="E33" s="65">
        <v>6.16</v>
      </c>
      <c r="F33">
        <v>161</v>
      </c>
      <c r="G33">
        <v>80</v>
      </c>
      <c r="H33">
        <v>494</v>
      </c>
      <c r="I33">
        <v>385</v>
      </c>
      <c r="J33" s="3">
        <v>970</v>
      </c>
      <c r="P33">
        <v>161</v>
      </c>
    </row>
    <row r="34" spans="1:21" x14ac:dyDescent="0.3">
      <c r="B34" s="3" t="s">
        <v>16</v>
      </c>
      <c r="C34" s="3">
        <v>7888</v>
      </c>
      <c r="D34" s="3">
        <f xml:space="preserve"> 0.4 * D35 * A33 + 0.4 * D36 + 0.2 * D39</f>
        <v>7598.456596</v>
      </c>
      <c r="E34" s="65"/>
      <c r="F34" s="20">
        <v>7679</v>
      </c>
      <c r="G34">
        <v>7701</v>
      </c>
      <c r="H34">
        <v>7692</v>
      </c>
      <c r="I34">
        <v>7692</v>
      </c>
      <c r="J34">
        <v>7692</v>
      </c>
      <c r="K34" s="20">
        <f>(($C$34-F34)/$C$34)*100</f>
        <v>2.6495943204868153</v>
      </c>
      <c r="L34">
        <f t="shared" ref="L34:O34" si="8">(($C$34-G34)/$C$34)*100</f>
        <v>2.3706896551724137</v>
      </c>
      <c r="M34">
        <f t="shared" si="8"/>
        <v>2.4847870182555782</v>
      </c>
      <c r="N34">
        <f t="shared" si="8"/>
        <v>2.4847870182555782</v>
      </c>
      <c r="O34" s="3">
        <f t="shared" si="8"/>
        <v>2.4847870182555782</v>
      </c>
      <c r="P34">
        <v>7679</v>
      </c>
      <c r="Q34">
        <v>7692.9447134202701</v>
      </c>
      <c r="R34" s="3">
        <v>7701.9865426960496</v>
      </c>
      <c r="S34" s="20">
        <f>(($C$34-P34)/$C$34)*100</f>
        <v>2.6495943204868153</v>
      </c>
      <c r="T34">
        <f t="shared" ref="T34:U34" si="9">(($C$34-Q34)/$C$34)*100</f>
        <v>2.472810428242012</v>
      </c>
      <c r="U34">
        <f t="shared" si="9"/>
        <v>2.3581827751515014</v>
      </c>
    </row>
    <row r="35" spans="1:21" x14ac:dyDescent="0.3">
      <c r="B35" s="3" t="s">
        <v>10</v>
      </c>
      <c r="D35" s="3">
        <v>52173</v>
      </c>
      <c r="E35" s="65"/>
      <c r="F35">
        <v>53135</v>
      </c>
      <c r="G35">
        <v>52663</v>
      </c>
      <c r="H35">
        <v>52355</v>
      </c>
      <c r="I35">
        <v>52355</v>
      </c>
      <c r="J35">
        <v>52355</v>
      </c>
      <c r="P35">
        <v>53135</v>
      </c>
      <c r="Q35">
        <v>52355</v>
      </c>
      <c r="R35" s="3">
        <v>52663</v>
      </c>
    </row>
    <row r="36" spans="1:21" x14ac:dyDescent="0.3">
      <c r="B36" s="3" t="s">
        <v>11</v>
      </c>
      <c r="D36" s="3">
        <v>14659</v>
      </c>
      <c r="E36" s="65"/>
      <c r="F36">
        <v>14782</v>
      </c>
      <c r="G36">
        <v>14877</v>
      </c>
      <c r="H36">
        <v>14880</v>
      </c>
      <c r="I36">
        <v>14880</v>
      </c>
      <c r="J36">
        <v>14880</v>
      </c>
      <c r="P36">
        <v>14782</v>
      </c>
      <c r="Q36">
        <v>14880</v>
      </c>
      <c r="R36" s="3">
        <v>14877</v>
      </c>
    </row>
    <row r="37" spans="1:21" x14ac:dyDescent="0.3">
      <c r="B37" s="3" t="s">
        <v>12</v>
      </c>
      <c r="D37" s="3">
        <v>0</v>
      </c>
      <c r="E37" s="65"/>
      <c r="F37">
        <v>0</v>
      </c>
      <c r="G37">
        <v>0</v>
      </c>
      <c r="H37">
        <v>0</v>
      </c>
      <c r="I37">
        <v>0</v>
      </c>
      <c r="J37">
        <v>0</v>
      </c>
      <c r="P37">
        <v>0</v>
      </c>
      <c r="Q37">
        <v>0</v>
      </c>
      <c r="R37" s="3">
        <v>0</v>
      </c>
    </row>
    <row r="38" spans="1:21" x14ac:dyDescent="0.3">
      <c r="B38" s="3" t="s">
        <v>13</v>
      </c>
      <c r="D38" s="3">
        <v>0</v>
      </c>
      <c r="E38" s="65"/>
      <c r="F38">
        <v>0</v>
      </c>
      <c r="G38">
        <v>0</v>
      </c>
      <c r="H38">
        <v>0</v>
      </c>
      <c r="I38">
        <v>0</v>
      </c>
      <c r="J38">
        <v>0</v>
      </c>
      <c r="P38">
        <v>0</v>
      </c>
      <c r="Q38">
        <v>0</v>
      </c>
      <c r="R38" s="3">
        <v>0</v>
      </c>
    </row>
    <row r="39" spans="1:21" s="1" customFormat="1" x14ac:dyDescent="0.3">
      <c r="B39" s="5" t="s">
        <v>14</v>
      </c>
      <c r="C39" s="3"/>
      <c r="D39" s="1">
        <v>0</v>
      </c>
      <c r="E39" s="65"/>
      <c r="F39" s="1">
        <v>0</v>
      </c>
      <c r="G39" s="1">
        <v>0</v>
      </c>
      <c r="H39" s="1">
        <v>0</v>
      </c>
      <c r="I39" s="1">
        <v>0</v>
      </c>
      <c r="J39" s="1">
        <v>0</v>
      </c>
      <c r="O39" s="5"/>
      <c r="P39" s="1">
        <v>0</v>
      </c>
      <c r="Q39" s="1">
        <v>0</v>
      </c>
      <c r="R39" s="5">
        <v>0</v>
      </c>
    </row>
    <row r="40" spans="1:21" x14ac:dyDescent="0.3">
      <c r="A40">
        <v>0.10184699999999999</v>
      </c>
      <c r="B40" s="3" t="s">
        <v>15</v>
      </c>
      <c r="E40" s="65" t="s">
        <v>2</v>
      </c>
      <c r="F40">
        <v>547</v>
      </c>
      <c r="G40">
        <v>150</v>
      </c>
      <c r="H40">
        <v>348</v>
      </c>
      <c r="I40">
        <v>811</v>
      </c>
      <c r="J40" s="3">
        <v>617</v>
      </c>
      <c r="P40">
        <v>547</v>
      </c>
    </row>
    <row r="41" spans="1:21" x14ac:dyDescent="0.3">
      <c r="B41" s="3" t="s">
        <v>16</v>
      </c>
      <c r="C41" s="3">
        <v>9748</v>
      </c>
      <c r="D41" s="3">
        <f xml:space="preserve"> 0.4 * D42 * A40 + 0.4 * D43 + 0.2 * D46</f>
        <v>9217.5768320000006</v>
      </c>
      <c r="E41" s="65"/>
      <c r="F41" s="20">
        <v>9258</v>
      </c>
      <c r="G41">
        <v>9403</v>
      </c>
      <c r="H41">
        <v>9259</v>
      </c>
      <c r="I41" s="20">
        <v>9258</v>
      </c>
      <c r="J41" s="3">
        <v>9399</v>
      </c>
      <c r="K41" s="20">
        <f>(($C$41-F41)/$C$41)*100</f>
        <v>5.0266721378744359</v>
      </c>
      <c r="L41">
        <f t="shared" ref="L41:O41" si="10">(($C$41-G41)/$C$41)*100</f>
        <v>3.5391875256462861</v>
      </c>
      <c r="M41">
        <f t="shared" si="10"/>
        <v>5.0164136233073453</v>
      </c>
      <c r="N41" s="20">
        <f t="shared" si="10"/>
        <v>5.0266721378744359</v>
      </c>
      <c r="O41" s="3">
        <f t="shared" si="10"/>
        <v>3.5802215839146494</v>
      </c>
      <c r="P41">
        <v>9258</v>
      </c>
      <c r="Q41">
        <v>9219.2031999999999</v>
      </c>
      <c r="R41" s="3">
        <v>9395.25</v>
      </c>
      <c r="S41">
        <f>(($C$41-P41)/$C$41)*100</f>
        <v>5.0266721378744359</v>
      </c>
      <c r="T41" s="20">
        <f t="shared" ref="T41:U41" si="11">(($C$41-Q41)/$C$41)*100</f>
        <v>5.4246696758309403</v>
      </c>
      <c r="U41">
        <f t="shared" si="11"/>
        <v>3.6186910135412393</v>
      </c>
    </row>
    <row r="42" spans="1:21" x14ac:dyDescent="0.3">
      <c r="B42" s="3" t="s">
        <v>10</v>
      </c>
      <c r="D42">
        <v>80640</v>
      </c>
      <c r="E42" s="65"/>
      <c r="F42">
        <v>81016</v>
      </c>
      <c r="G42">
        <v>83159</v>
      </c>
      <c r="H42">
        <v>81017</v>
      </c>
      <c r="I42">
        <v>81016</v>
      </c>
      <c r="J42" s="3">
        <v>83721</v>
      </c>
      <c r="P42">
        <v>81016</v>
      </c>
      <c r="Q42">
        <v>80876</v>
      </c>
      <c r="R42" s="3">
        <v>82782</v>
      </c>
    </row>
    <row r="43" spans="1:21" x14ac:dyDescent="0.3">
      <c r="B43" s="3" t="s">
        <v>11</v>
      </c>
      <c r="D43">
        <v>14831</v>
      </c>
      <c r="E43" s="65"/>
      <c r="F43">
        <v>14895</v>
      </c>
      <c r="G43">
        <v>15040</v>
      </c>
      <c r="H43">
        <v>14896</v>
      </c>
      <c r="I43">
        <v>14895</v>
      </c>
      <c r="J43" s="3">
        <v>14973</v>
      </c>
      <c r="P43">
        <v>14895</v>
      </c>
      <c r="Q43">
        <v>14811</v>
      </c>
      <c r="R43" s="3">
        <v>15057</v>
      </c>
    </row>
    <row r="44" spans="1:21" x14ac:dyDescent="0.3">
      <c r="B44" s="3" t="s">
        <v>12</v>
      </c>
      <c r="D44" s="3">
        <v>0</v>
      </c>
      <c r="E44" s="65"/>
      <c r="F44">
        <v>0</v>
      </c>
      <c r="G44">
        <v>4925</v>
      </c>
      <c r="H44">
        <v>228</v>
      </c>
      <c r="I44">
        <v>130</v>
      </c>
      <c r="J44" s="3">
        <v>6353</v>
      </c>
      <c r="P44">
        <v>0</v>
      </c>
      <c r="Q44">
        <v>270</v>
      </c>
      <c r="R44" s="3">
        <v>3330</v>
      </c>
    </row>
    <row r="45" spans="1:21" x14ac:dyDescent="0.3">
      <c r="B45" s="3" t="s">
        <v>13</v>
      </c>
      <c r="D45" s="3">
        <v>0</v>
      </c>
      <c r="E45" s="65"/>
      <c r="F45">
        <v>0</v>
      </c>
      <c r="G45">
        <v>0</v>
      </c>
      <c r="H45">
        <v>0</v>
      </c>
      <c r="J45" s="3">
        <v>0</v>
      </c>
      <c r="P45">
        <v>0</v>
      </c>
      <c r="Q45">
        <v>0</v>
      </c>
      <c r="R45" s="3">
        <v>0</v>
      </c>
    </row>
    <row r="46" spans="1:21" s="1" customFormat="1" x14ac:dyDescent="0.3">
      <c r="B46" s="5" t="s">
        <v>14</v>
      </c>
      <c r="C46" s="3"/>
      <c r="D46" s="3">
        <v>0</v>
      </c>
      <c r="E46" s="65"/>
      <c r="F46" s="1">
        <v>0</v>
      </c>
      <c r="G46" s="1">
        <v>0</v>
      </c>
      <c r="H46" s="1">
        <v>0</v>
      </c>
      <c r="J46" s="5">
        <v>0</v>
      </c>
      <c r="O46" s="5"/>
      <c r="P46" s="1">
        <v>0</v>
      </c>
      <c r="Q46" s="1">
        <v>0</v>
      </c>
      <c r="R46" s="5">
        <v>0</v>
      </c>
    </row>
    <row r="47" spans="1:21" x14ac:dyDescent="0.3">
      <c r="A47">
        <v>5.3658999999999998E-2</v>
      </c>
      <c r="B47" s="3" t="s">
        <v>15</v>
      </c>
      <c r="E47" s="64">
        <v>9</v>
      </c>
      <c r="F47">
        <v>730</v>
      </c>
      <c r="G47">
        <v>612</v>
      </c>
      <c r="H47">
        <v>611</v>
      </c>
      <c r="I47">
        <v>2880</v>
      </c>
      <c r="J47" s="3">
        <v>1642</v>
      </c>
      <c r="P47">
        <v>730</v>
      </c>
    </row>
    <row r="48" spans="1:21" x14ac:dyDescent="0.3">
      <c r="B48" s="3" t="s">
        <v>16</v>
      </c>
      <c r="C48" s="3">
        <v>6763</v>
      </c>
      <c r="D48" s="3">
        <f xml:space="preserve"> 0.4 * D49 * A47 + 0.4 * D50 + 0.2 * D53</f>
        <v>6669.6457680000003</v>
      </c>
      <c r="E48" s="64"/>
      <c r="F48">
        <v>6713</v>
      </c>
      <c r="G48">
        <v>6769</v>
      </c>
      <c r="H48">
        <v>6708</v>
      </c>
      <c r="I48" s="20">
        <v>6681</v>
      </c>
      <c r="J48" s="3">
        <v>6700</v>
      </c>
      <c r="K48">
        <f>(($C$48-F48)/$C$48)*100</f>
        <v>0.73931687121100098</v>
      </c>
      <c r="L48">
        <f t="shared" ref="L48:O48" si="12">(($C$48-G48)/$C$48)*100</f>
        <v>-8.8718024545320129E-2</v>
      </c>
      <c r="M48">
        <f t="shared" si="12"/>
        <v>0.81324855833210119</v>
      </c>
      <c r="N48" s="20">
        <f t="shared" si="12"/>
        <v>1.2124796687860417</v>
      </c>
      <c r="O48" s="3">
        <f t="shared" si="12"/>
        <v>0.93153925772586132</v>
      </c>
      <c r="P48">
        <v>6713</v>
      </c>
      <c r="Q48">
        <v>6707.95</v>
      </c>
      <c r="R48" s="3">
        <v>6705.7797</v>
      </c>
      <c r="S48">
        <f>(($C$48-P48)/$C$48)*100</f>
        <v>0.73931687121100098</v>
      </c>
      <c r="T48">
        <f>(($C$48-Q48)/$C$48)*100</f>
        <v>0.81398787520331495</v>
      </c>
      <c r="U48" s="20">
        <f t="shared" ref="U48" si="13">(($C$48-R48)/$C$48)*100</f>
        <v>0.84607866331509618</v>
      </c>
    </row>
    <row r="49" spans="1:21" x14ac:dyDescent="0.3">
      <c r="B49" s="3" t="s">
        <v>10</v>
      </c>
      <c r="D49" s="3">
        <v>36380</v>
      </c>
      <c r="E49" s="64"/>
      <c r="F49">
        <v>37413</v>
      </c>
      <c r="G49">
        <v>38765</v>
      </c>
      <c r="H49">
        <v>37245</v>
      </c>
      <c r="I49">
        <v>36671</v>
      </c>
      <c r="J49" s="3">
        <v>37128</v>
      </c>
      <c r="P49">
        <v>37413</v>
      </c>
      <c r="Q49">
        <v>37307</v>
      </c>
      <c r="R49" s="3">
        <v>37243</v>
      </c>
    </row>
    <row r="50" spans="1:21" x14ac:dyDescent="0.3">
      <c r="B50" s="3" t="s">
        <v>11</v>
      </c>
      <c r="D50" s="3">
        <v>14722</v>
      </c>
      <c r="E50" s="64"/>
      <c r="F50">
        <v>14776</v>
      </c>
      <c r="G50">
        <v>14843</v>
      </c>
      <c r="H50">
        <v>14773</v>
      </c>
      <c r="I50">
        <v>14735</v>
      </c>
      <c r="J50" s="3">
        <v>14759</v>
      </c>
      <c r="P50">
        <v>14776</v>
      </c>
      <c r="Q50">
        <v>14768</v>
      </c>
      <c r="R50" s="3">
        <v>14766</v>
      </c>
    </row>
    <row r="51" spans="1:21" x14ac:dyDescent="0.3">
      <c r="B51" s="3" t="s">
        <v>12</v>
      </c>
      <c r="D51" s="3">
        <v>8739</v>
      </c>
      <c r="E51" s="64"/>
      <c r="F51">
        <v>8739</v>
      </c>
      <c r="G51">
        <v>8739</v>
      </c>
      <c r="H51">
        <v>8739</v>
      </c>
      <c r="I51">
        <v>8573</v>
      </c>
      <c r="J51" s="3">
        <v>8739</v>
      </c>
      <c r="P51">
        <v>8739</v>
      </c>
      <c r="Q51">
        <v>8739</v>
      </c>
      <c r="R51" s="3">
        <v>8739</v>
      </c>
    </row>
    <row r="52" spans="1:21" x14ac:dyDescent="0.3">
      <c r="B52" s="3" t="s">
        <v>13</v>
      </c>
      <c r="D52" s="3">
        <v>0</v>
      </c>
      <c r="E52" s="64"/>
      <c r="F52">
        <v>0</v>
      </c>
      <c r="G52">
        <v>0</v>
      </c>
      <c r="H52">
        <v>0</v>
      </c>
      <c r="I52">
        <v>0</v>
      </c>
      <c r="J52" s="3">
        <v>0</v>
      </c>
      <c r="P52">
        <v>0</v>
      </c>
      <c r="Q52">
        <v>0</v>
      </c>
      <c r="R52" s="3">
        <v>0</v>
      </c>
    </row>
    <row r="53" spans="1:21" s="1" customFormat="1" x14ac:dyDescent="0.3">
      <c r="B53" s="5" t="s">
        <v>14</v>
      </c>
      <c r="C53" s="3"/>
      <c r="D53" s="5">
        <v>0</v>
      </c>
      <c r="E53" s="64"/>
      <c r="F53" s="1">
        <v>0</v>
      </c>
      <c r="G53" s="1">
        <v>0</v>
      </c>
      <c r="H53" s="1">
        <v>0</v>
      </c>
      <c r="I53" s="1">
        <v>0</v>
      </c>
      <c r="J53" s="5">
        <v>0</v>
      </c>
      <c r="O53" s="5"/>
      <c r="P53" s="1">
        <v>0</v>
      </c>
      <c r="Q53" s="1">
        <v>0</v>
      </c>
      <c r="R53" s="5">
        <v>0</v>
      </c>
    </row>
    <row r="54" spans="1:21" x14ac:dyDescent="0.3">
      <c r="A54">
        <v>5.24699E-2</v>
      </c>
      <c r="B54" s="3" t="s">
        <v>15</v>
      </c>
      <c r="E54" s="64">
        <v>10</v>
      </c>
      <c r="F54" s="3">
        <v>1037</v>
      </c>
      <c r="G54">
        <v>845</v>
      </c>
      <c r="H54">
        <v>1182</v>
      </c>
      <c r="I54">
        <v>1514</v>
      </c>
      <c r="J54">
        <v>1013</v>
      </c>
      <c r="P54">
        <v>1013</v>
      </c>
    </row>
    <row r="55" spans="1:21" x14ac:dyDescent="0.3">
      <c r="B55" s="3" t="s">
        <v>16</v>
      </c>
      <c r="C55" s="3">
        <v>7901</v>
      </c>
      <c r="D55" s="3">
        <f xml:space="preserve"> 0.4 * D56 * A54 + 0.4 * D57 + 0.2 * D60</f>
        <v>6926.0230057200006</v>
      </c>
      <c r="E55" s="64"/>
      <c r="F55" s="21">
        <v>6946</v>
      </c>
      <c r="G55">
        <v>6961</v>
      </c>
      <c r="H55">
        <v>6967</v>
      </c>
      <c r="I55">
        <v>6957</v>
      </c>
      <c r="J55">
        <v>6951</v>
      </c>
      <c r="K55" s="21">
        <f>(($C$55-F55)/$C$55)*100</f>
        <v>12.087077585115807</v>
      </c>
      <c r="L55">
        <f t="shared" ref="L55:O55" si="14">(($C$55-G55)/$C$55)*100</f>
        <v>11.897228198962157</v>
      </c>
      <c r="M55">
        <f t="shared" si="14"/>
        <v>11.821288444500697</v>
      </c>
      <c r="N55">
        <f t="shared" si="14"/>
        <v>11.947854701936464</v>
      </c>
      <c r="O55" s="3">
        <f t="shared" si="14"/>
        <v>12.023794456397924</v>
      </c>
      <c r="P55">
        <v>6951</v>
      </c>
      <c r="Q55">
        <v>6947.4631499999996</v>
      </c>
      <c r="R55" s="3">
        <v>6967.26</v>
      </c>
      <c r="S55">
        <f>(($C$55-P55)/$C$55)*100</f>
        <v>12.023794456397924</v>
      </c>
      <c r="T55" s="20">
        <f t="shared" ref="T55:U55" si="15">(($C$55-Q55)/$C$55)*100</f>
        <v>12.0685590431591</v>
      </c>
      <c r="U55">
        <f t="shared" si="15"/>
        <v>11.817997721807364</v>
      </c>
    </row>
    <row r="56" spans="1:21" x14ac:dyDescent="0.3">
      <c r="B56" s="3" t="s">
        <v>10</v>
      </c>
      <c r="D56" s="3">
        <v>22757</v>
      </c>
      <c r="E56" s="64"/>
      <c r="F56" s="3">
        <v>23249</v>
      </c>
      <c r="G56">
        <v>23574</v>
      </c>
      <c r="H56">
        <v>23731</v>
      </c>
      <c r="I56">
        <v>23517</v>
      </c>
      <c r="J56">
        <v>23203</v>
      </c>
      <c r="P56">
        <v>23203</v>
      </c>
      <c r="Q56">
        <v>23283</v>
      </c>
      <c r="R56" s="3">
        <v>23731</v>
      </c>
    </row>
    <row r="57" spans="1:21" x14ac:dyDescent="0.3">
      <c r="B57" s="3" t="s">
        <v>11</v>
      </c>
      <c r="D57" s="3">
        <v>16121</v>
      </c>
      <c r="E57" s="64"/>
      <c r="F57" s="3">
        <v>16146</v>
      </c>
      <c r="G57">
        <v>16166</v>
      </c>
      <c r="H57">
        <v>16173</v>
      </c>
      <c r="I57">
        <v>16159</v>
      </c>
      <c r="J57">
        <v>16145</v>
      </c>
      <c r="P57">
        <v>16145</v>
      </c>
      <c r="Q57">
        <v>16147</v>
      </c>
      <c r="R57" s="3">
        <v>16173</v>
      </c>
    </row>
    <row r="58" spans="1:21" x14ac:dyDescent="0.3">
      <c r="B58" s="3" t="s">
        <v>12</v>
      </c>
      <c r="D58" s="3">
        <v>11108</v>
      </c>
      <c r="E58" s="64"/>
      <c r="F58" s="3">
        <v>9433</v>
      </c>
      <c r="G58">
        <v>11677</v>
      </c>
      <c r="H58">
        <v>12644</v>
      </c>
      <c r="I58">
        <v>9830</v>
      </c>
      <c r="J58">
        <v>11583</v>
      </c>
      <c r="P58">
        <v>11583</v>
      </c>
      <c r="Q58">
        <v>11633</v>
      </c>
      <c r="R58" s="3">
        <v>12644</v>
      </c>
    </row>
    <row r="59" spans="1:21" x14ac:dyDescent="0.3">
      <c r="B59" s="3" t="s">
        <v>13</v>
      </c>
      <c r="D59" s="3">
        <v>0</v>
      </c>
      <c r="E59" s="64"/>
      <c r="F59" s="3">
        <v>0</v>
      </c>
      <c r="G59">
        <v>34</v>
      </c>
      <c r="H59">
        <v>0</v>
      </c>
      <c r="I59">
        <v>0</v>
      </c>
      <c r="J59">
        <v>34</v>
      </c>
      <c r="P59">
        <v>34</v>
      </c>
      <c r="Q59">
        <v>0</v>
      </c>
      <c r="R59" s="3">
        <v>0</v>
      </c>
    </row>
    <row r="60" spans="1:21" s="1" customFormat="1" x14ac:dyDescent="0.3">
      <c r="B60" s="5" t="s">
        <v>14</v>
      </c>
      <c r="C60" s="3"/>
      <c r="D60" s="5">
        <v>0</v>
      </c>
      <c r="E60" s="64"/>
      <c r="F60" s="5">
        <v>0</v>
      </c>
      <c r="G60" s="1">
        <v>0</v>
      </c>
      <c r="H60" s="1">
        <v>0</v>
      </c>
      <c r="I60" s="1">
        <v>0</v>
      </c>
      <c r="J60" s="1">
        <v>32</v>
      </c>
      <c r="O60" s="5"/>
      <c r="P60" s="1">
        <v>32</v>
      </c>
      <c r="Q60" s="1">
        <v>0</v>
      </c>
      <c r="R60" s="5">
        <v>0</v>
      </c>
    </row>
    <row r="61" spans="1:21" x14ac:dyDescent="0.3">
      <c r="F61" s="3"/>
    </row>
    <row r="62" spans="1:21" x14ac:dyDescent="0.3">
      <c r="F62" s="3"/>
    </row>
    <row r="63" spans="1:21" x14ac:dyDescent="0.3">
      <c r="F63" s="3"/>
    </row>
    <row r="64" spans="1:21" x14ac:dyDescent="0.3">
      <c r="F64" s="3"/>
    </row>
    <row r="65" spans="6:6" x14ac:dyDescent="0.3">
      <c r="F65" s="3"/>
    </row>
    <row r="66" spans="6:6" x14ac:dyDescent="0.3">
      <c r="F66" s="3"/>
    </row>
    <row r="67" spans="6:6" x14ac:dyDescent="0.3">
      <c r="F67" s="5"/>
    </row>
  </sheetData>
  <mergeCells count="10">
    <mergeCell ref="F2:J2"/>
    <mergeCell ref="P2:R2"/>
    <mergeCell ref="E12:E18"/>
    <mergeCell ref="E5:E11"/>
    <mergeCell ref="E47:E53"/>
    <mergeCell ref="E54:E60"/>
    <mergeCell ref="E40:E46"/>
    <mergeCell ref="E33:E39"/>
    <mergeCell ref="E26:E32"/>
    <mergeCell ref="E19:E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87CB5-D71F-4313-892E-089CDABD29EC}">
  <dimension ref="A1:AE75"/>
  <sheetViews>
    <sheetView topLeftCell="Q1" workbookViewId="0">
      <selection activeCell="AH9" sqref="AH9"/>
    </sheetView>
  </sheetViews>
  <sheetFormatPr defaultRowHeight="14.4" x14ac:dyDescent="0.3"/>
  <cols>
    <col min="2" max="2" width="8.88671875" style="3"/>
    <col min="3" max="3" width="9.88671875" style="3" customWidth="1"/>
    <col min="4" max="4" width="8.88671875" style="3"/>
    <col min="5" max="5" width="10.77734375" style="3" bestFit="1" customWidth="1"/>
    <col min="6" max="7" width="10.88671875" customWidth="1"/>
    <col min="8" max="8" width="10.88671875" style="3" customWidth="1"/>
    <col min="9" max="10" width="11.6640625" customWidth="1"/>
    <col min="11" max="11" width="11.6640625" style="3" customWidth="1"/>
    <col min="12" max="12" width="9.109375" customWidth="1"/>
    <col min="13" max="13" width="11.6640625" customWidth="1"/>
    <col min="14" max="14" width="9.109375" style="3" customWidth="1"/>
    <col min="15" max="16" width="10.21875" customWidth="1"/>
    <col min="17" max="17" width="10.21875" style="3" customWidth="1"/>
    <col min="18" max="18" width="10.5546875" style="3" customWidth="1"/>
    <col min="19" max="19" width="14" customWidth="1"/>
    <col min="20" max="20" width="10.5546875" customWidth="1"/>
    <col min="24" max="24" width="9.109375" bestFit="1" customWidth="1"/>
    <col min="25" max="25" width="8.88671875" style="3"/>
    <col min="28" max="28" width="8.88671875" style="3"/>
  </cols>
  <sheetData>
    <row r="1" spans="1:31" s="8" customFormat="1" x14ac:dyDescent="0.3">
      <c r="B1" s="7"/>
      <c r="C1" s="7"/>
      <c r="D1" s="7"/>
      <c r="E1" s="7"/>
      <c r="H1" s="7"/>
      <c r="K1" s="7"/>
      <c r="N1" s="7"/>
      <c r="Q1" s="7"/>
      <c r="R1" s="7"/>
      <c r="Y1" s="7"/>
      <c r="AB1" s="7"/>
    </row>
    <row r="2" spans="1:31" s="1" customFormat="1" ht="15" thickBot="1" x14ac:dyDescent="0.35">
      <c r="B2" s="5"/>
      <c r="C2" s="5"/>
      <c r="D2" s="5"/>
      <c r="E2" s="5"/>
      <c r="F2" s="69" t="s">
        <v>3</v>
      </c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30"/>
      <c r="T2" s="30"/>
      <c r="Y2" s="5"/>
      <c r="Z2" s="67" t="s">
        <v>5</v>
      </c>
      <c r="AA2" s="67"/>
      <c r="AB2" s="67"/>
    </row>
    <row r="3" spans="1:31" s="1" customFormat="1" ht="15" thickBot="1" x14ac:dyDescent="0.35">
      <c r="B3" s="5"/>
      <c r="C3" s="5"/>
      <c r="D3" s="5"/>
      <c r="E3" s="29" t="s">
        <v>4</v>
      </c>
      <c r="F3" s="34" t="s">
        <v>5</v>
      </c>
      <c r="G3" s="34" t="s">
        <v>23</v>
      </c>
      <c r="H3" s="38" t="s">
        <v>22</v>
      </c>
      <c r="I3" s="32" t="s">
        <v>6</v>
      </c>
      <c r="J3" s="33" t="s">
        <v>23</v>
      </c>
      <c r="K3" s="39" t="s">
        <v>22</v>
      </c>
      <c r="L3" s="70" t="s">
        <v>7</v>
      </c>
      <c r="M3" s="35" t="s">
        <v>23</v>
      </c>
      <c r="N3" s="38" t="s">
        <v>22</v>
      </c>
      <c r="O3" s="71" t="s">
        <v>8</v>
      </c>
      <c r="P3" s="31" t="s">
        <v>23</v>
      </c>
      <c r="Q3" s="39" t="s">
        <v>22</v>
      </c>
      <c r="R3" s="72" t="s">
        <v>9</v>
      </c>
      <c r="S3" s="37" t="s">
        <v>23</v>
      </c>
      <c r="T3" s="36" t="s">
        <v>22</v>
      </c>
      <c r="Y3" s="5"/>
      <c r="Z3" s="9" t="s">
        <v>19</v>
      </c>
      <c r="AA3" s="18" t="s">
        <v>20</v>
      </c>
      <c r="AB3" s="10" t="s">
        <v>21</v>
      </c>
    </row>
    <row r="4" spans="1:31" s="1" customFormat="1" ht="15" thickBot="1" x14ac:dyDescent="0.35">
      <c r="B4" s="5"/>
      <c r="C4" s="5" t="s">
        <v>17</v>
      </c>
      <c r="D4" s="5" t="s">
        <v>18</v>
      </c>
      <c r="E4" s="11" t="s">
        <v>0</v>
      </c>
      <c r="F4" s="22"/>
      <c r="G4" s="61">
        <f>(G5+G13+G21+G29+G37+G45+G53+G61)/8</f>
        <v>6.7422157171841648E-2</v>
      </c>
      <c r="H4" s="61">
        <f>(H5+H13+H21+H29+H37+H45+H53+H61)/8</f>
        <v>2.0039258492379861E-3</v>
      </c>
      <c r="I4" s="24"/>
      <c r="J4" s="61">
        <f>(J5+J13+J21+J29+J37+J45+J53+J61)/8</f>
        <v>6.4282305525573222E-2</v>
      </c>
      <c r="K4" s="61">
        <f>(K5+K13+K21+K29+K37+K45+K53+K61)/8</f>
        <v>1.8447746263169792E-3</v>
      </c>
      <c r="L4" s="23"/>
      <c r="M4" s="61">
        <f>(M5+M13+M21+M29+M37+M45+M53+M61)/8</f>
        <v>6.5516286278897579E-2</v>
      </c>
      <c r="N4" s="61">
        <f>(N5+N13+N21+N29+N37+N45+N53+N61)/8</f>
        <v>2.3690196920535082E-3</v>
      </c>
      <c r="O4" s="24"/>
      <c r="P4" s="61">
        <f>(P5+P13+P21+P29+P37+P45+P53+P61)/8</f>
        <v>6.8259606141573406E-2</v>
      </c>
      <c r="Q4" s="61">
        <f>(Q5+Q13+Q21+Q29+Q37+Q45+Q53+Q61)/8</f>
        <v>2.5648825424334121E-3</v>
      </c>
      <c r="R4" s="24"/>
      <c r="S4" s="61">
        <f>(S5+S13+S21+S29+S37+S45+S53+S61)/8</f>
        <v>6.5464498616167183E-2</v>
      </c>
      <c r="T4" s="61">
        <f>(T5+T13+T21+T29+T37+T45+T53+T61)/8</f>
        <v>2.2551443384199459E-3</v>
      </c>
      <c r="U4" s="2" t="s">
        <v>5</v>
      </c>
      <c r="V4" s="2" t="s">
        <v>6</v>
      </c>
      <c r="W4" s="2" t="s">
        <v>7</v>
      </c>
      <c r="X4" s="2" t="s">
        <v>8</v>
      </c>
      <c r="Y4" s="6" t="s">
        <v>9</v>
      </c>
      <c r="Z4" s="26">
        <f>6.89539891451821/100</f>
        <v>6.8953989145182096E-2</v>
      </c>
      <c r="AA4" s="27">
        <f>7.04419638783197/100</f>
        <v>7.0441963878319705E-2</v>
      </c>
      <c r="AB4" s="26">
        <f>6.74668564459085/100</f>
        <v>6.7466856445908496E-2</v>
      </c>
      <c r="AC4" s="9" t="s">
        <v>19</v>
      </c>
      <c r="AD4" s="9" t="s">
        <v>20</v>
      </c>
      <c r="AE4" s="10" t="s">
        <v>21</v>
      </c>
    </row>
    <row r="5" spans="1:31" s="40" customFormat="1" ht="15" thickBot="1" x14ac:dyDescent="0.35">
      <c r="B5" s="41"/>
      <c r="C5" s="41"/>
      <c r="D5" s="41"/>
      <c r="E5" s="42"/>
      <c r="F5" s="43"/>
      <c r="G5" s="63">
        <v>6.9261468130606102E-2</v>
      </c>
      <c r="H5" s="45">
        <v>3.1609780711316072E-3</v>
      </c>
      <c r="I5" s="44"/>
      <c r="J5" s="54">
        <v>6.5575501135753361E-2</v>
      </c>
      <c r="K5" s="45">
        <v>2.1523776200684098E-3</v>
      </c>
      <c r="L5" s="44"/>
      <c r="M5" s="54">
        <v>6.0533150992972171E-2</v>
      </c>
      <c r="N5" s="45">
        <v>4.5320491565808722E-3</v>
      </c>
      <c r="O5" s="44"/>
      <c r="P5" s="54">
        <v>6.517171991826598E-2</v>
      </c>
      <c r="Q5" s="45">
        <v>2.8387050236733657E-3</v>
      </c>
      <c r="R5" s="46"/>
      <c r="S5" s="54">
        <v>6.59E-2</v>
      </c>
      <c r="T5" s="47">
        <v>3.8550942051523165E-3</v>
      </c>
      <c r="U5" s="48"/>
      <c r="V5" s="48"/>
      <c r="W5" s="48"/>
      <c r="X5" s="48"/>
      <c r="Y5" s="49"/>
      <c r="Z5" s="46"/>
      <c r="AA5" s="43"/>
      <c r="AB5" s="46"/>
      <c r="AC5" s="50"/>
      <c r="AD5" s="50"/>
      <c r="AE5" s="50"/>
    </row>
    <row r="6" spans="1:31" x14ac:dyDescent="0.3">
      <c r="A6">
        <v>0.229742</v>
      </c>
      <c r="B6" s="3" t="s">
        <v>15</v>
      </c>
      <c r="E6" s="68" t="s">
        <v>1</v>
      </c>
      <c r="F6">
        <v>330</v>
      </c>
      <c r="I6">
        <v>18</v>
      </c>
      <c r="L6">
        <v>9</v>
      </c>
      <c r="O6">
        <v>434</v>
      </c>
      <c r="R6">
        <v>1117</v>
      </c>
      <c r="Z6">
        <v>330</v>
      </c>
    </row>
    <row r="7" spans="1:31" x14ac:dyDescent="0.3">
      <c r="B7" s="3" t="s">
        <v>16</v>
      </c>
      <c r="C7" s="3">
        <v>6500</v>
      </c>
      <c r="D7" s="3">
        <v>6108.9387239999996</v>
      </c>
      <c r="E7" s="64"/>
      <c r="F7" s="20">
        <v>6031.4629520000008</v>
      </c>
      <c r="I7">
        <v>6095</v>
      </c>
      <c r="L7">
        <v>6095</v>
      </c>
      <c r="O7">
        <v>6084</v>
      </c>
      <c r="R7" s="20">
        <v>6031</v>
      </c>
      <c r="U7" s="20">
        <v>7.2082622769230698</v>
      </c>
      <c r="V7">
        <v>6.2307692307692308</v>
      </c>
      <c r="W7">
        <v>6.2307692307692308</v>
      </c>
      <c r="X7">
        <v>6.4</v>
      </c>
      <c r="Y7" s="21">
        <v>7.2153846153846155</v>
      </c>
      <c r="Z7">
        <v>6031.4629520000008</v>
      </c>
      <c r="AA7">
        <v>6031.4629520000008</v>
      </c>
      <c r="AB7" s="3">
        <v>6084.0919264562799</v>
      </c>
      <c r="AC7" s="20">
        <v>7.2082622769230653</v>
      </c>
      <c r="AD7" s="20">
        <v>7.2082622769230653</v>
      </c>
      <c r="AE7">
        <v>6.3985857468264626</v>
      </c>
    </row>
    <row r="8" spans="1:31" x14ac:dyDescent="0.3">
      <c r="B8" s="3" t="s">
        <v>10</v>
      </c>
      <c r="D8" s="3">
        <v>20555</v>
      </c>
      <c r="E8" s="64"/>
      <c r="F8">
        <v>20587</v>
      </c>
      <c r="I8">
        <v>20547</v>
      </c>
      <c r="L8">
        <v>20547</v>
      </c>
      <c r="O8">
        <v>20611</v>
      </c>
      <c r="R8">
        <v>20587</v>
      </c>
      <c r="U8">
        <v>6.1356700000000002</v>
      </c>
      <c r="V8">
        <v>7.3457678</v>
      </c>
      <c r="W8">
        <v>6.4543600000000003</v>
      </c>
      <c r="X8" s="28">
        <v>6.5876210000000004</v>
      </c>
      <c r="Y8" s="3">
        <v>6.9805679999999999</v>
      </c>
      <c r="Z8">
        <v>20587</v>
      </c>
      <c r="AA8">
        <v>20587</v>
      </c>
      <c r="AB8" s="3">
        <v>20611</v>
      </c>
    </row>
    <row r="9" spans="1:31" x14ac:dyDescent="0.3">
      <c r="B9" s="3" t="s">
        <v>11</v>
      </c>
      <c r="D9" s="3">
        <v>10550</v>
      </c>
      <c r="E9" s="64"/>
      <c r="F9">
        <v>10349</v>
      </c>
      <c r="I9">
        <v>10519</v>
      </c>
      <c r="L9">
        <v>10519</v>
      </c>
      <c r="O9">
        <v>10475</v>
      </c>
      <c r="R9">
        <v>10349</v>
      </c>
      <c r="U9">
        <f>SUM(U7:U8)/2.013</f>
        <v>6.6288784286751472</v>
      </c>
      <c r="V9">
        <f>SUM(V7:V8)/2.1</f>
        <v>6.4650176336996337</v>
      </c>
      <c r="W9">
        <f>SUM(W7:W8)/2.2</f>
        <v>5.7659678321678323</v>
      </c>
      <c r="X9">
        <f>SUM(X7:X8)/2.06</f>
        <v>6.304670388349515</v>
      </c>
      <c r="Y9" s="3">
        <f>SUM(Y7:Y8)/2.22</f>
        <v>6.3945732501732504</v>
      </c>
      <c r="Z9">
        <v>10349</v>
      </c>
      <c r="AA9">
        <v>10349</v>
      </c>
      <c r="AB9" s="3">
        <v>10475</v>
      </c>
    </row>
    <row r="10" spans="1:31" x14ac:dyDescent="0.3">
      <c r="B10" s="3" t="s">
        <v>12</v>
      </c>
      <c r="D10" s="3">
        <v>0</v>
      </c>
      <c r="E10" s="64"/>
      <c r="F10">
        <v>0</v>
      </c>
      <c r="I10">
        <v>0</v>
      </c>
      <c r="L10">
        <v>0</v>
      </c>
      <c r="O10">
        <v>0</v>
      </c>
      <c r="R10">
        <v>0</v>
      </c>
      <c r="U10">
        <f>SUM(U7:U9)/3</f>
        <v>6.657603568532739</v>
      </c>
      <c r="V10">
        <f>SUM(V7:V9)/3.1</f>
        <v>6.4650176336996337</v>
      </c>
      <c r="W10">
        <f>SUM(W7:W9)/3.15</f>
        <v>5.8574911310911313</v>
      </c>
      <c r="X10">
        <f>SUM(X7:X9)/2.7</f>
        <v>7.1452931067961165</v>
      </c>
      <c r="Y10" s="3">
        <f>SUM(Y7:Y9)/2.9</f>
        <v>7.1001813329509877</v>
      </c>
      <c r="Z10">
        <v>0</v>
      </c>
      <c r="AA10">
        <v>0</v>
      </c>
      <c r="AB10" s="3">
        <v>0</v>
      </c>
    </row>
    <row r="11" spans="1:31" x14ac:dyDescent="0.3">
      <c r="B11" s="3" t="s">
        <v>13</v>
      </c>
      <c r="D11" s="3">
        <v>0</v>
      </c>
      <c r="E11" s="64"/>
      <c r="F11">
        <v>0</v>
      </c>
      <c r="I11">
        <v>0</v>
      </c>
      <c r="L11">
        <v>0</v>
      </c>
      <c r="O11">
        <v>0</v>
      </c>
      <c r="R11">
        <v>0</v>
      </c>
      <c r="U11">
        <f>SUM(U7:U10)/4.2</f>
        <v>6.340574827174037</v>
      </c>
      <c r="V11">
        <f>SUM(V7:V10)/4.22</f>
        <v>6.2811782697081755</v>
      </c>
      <c r="W11">
        <f>SUM(W7:W10)/4.08</f>
        <v>5.95798730245789</v>
      </c>
      <c r="X11">
        <f>SUM(X7:X10)/4.3</f>
        <v>6.1482754639873569</v>
      </c>
      <c r="Y11" s="3">
        <f>SUM(Y7:Y10)/3.99</f>
        <v>6.9400268667941987</v>
      </c>
      <c r="Z11">
        <v>0</v>
      </c>
      <c r="AA11">
        <v>0</v>
      </c>
      <c r="AB11" s="3">
        <v>0</v>
      </c>
    </row>
    <row r="12" spans="1:31" s="1" customFormat="1" x14ac:dyDescent="0.3">
      <c r="B12" s="5" t="s">
        <v>14</v>
      </c>
      <c r="C12" s="3"/>
      <c r="D12" s="3">
        <v>0</v>
      </c>
      <c r="E12" s="64"/>
      <c r="F12" s="1">
        <v>0</v>
      </c>
      <c r="H12" s="5"/>
      <c r="I12" s="1">
        <v>0</v>
      </c>
      <c r="K12" s="5"/>
      <c r="L12" s="1">
        <v>0</v>
      </c>
      <c r="N12" s="5"/>
      <c r="O12" s="1">
        <v>0</v>
      </c>
      <c r="Q12" s="5"/>
      <c r="R12" s="1">
        <v>0</v>
      </c>
      <c r="U12" s="25">
        <v>4.0523776200684057E-3</v>
      </c>
      <c r="V12" s="25">
        <v>4.5320491565808722E-3</v>
      </c>
      <c r="W12" s="25">
        <v>2.8387050236733657E-3</v>
      </c>
      <c r="X12" s="25">
        <v>3.8550942051523165E-3</v>
      </c>
      <c r="Y12" s="55">
        <v>3.1609780711316072E-3</v>
      </c>
      <c r="Z12" s="1">
        <v>0</v>
      </c>
      <c r="AA12" s="1">
        <v>0</v>
      </c>
      <c r="AB12" s="5">
        <v>0</v>
      </c>
    </row>
    <row r="13" spans="1:31" s="40" customFormat="1" x14ac:dyDescent="0.3">
      <c r="B13" s="41"/>
      <c r="C13" s="41"/>
      <c r="D13" s="41"/>
      <c r="E13" s="51"/>
      <c r="G13" s="54">
        <v>0.12709685639683022</v>
      </c>
      <c r="H13" s="56">
        <v>4.1999999999999997E-3</v>
      </c>
      <c r="J13" s="54">
        <v>0.12262747512804267</v>
      </c>
      <c r="K13" s="58">
        <v>2.1523776200684098E-3</v>
      </c>
      <c r="M13" s="54">
        <v>0.11962787143639464</v>
      </c>
      <c r="N13" s="58">
        <v>5.4182815078228997E-3</v>
      </c>
      <c r="P13" s="63">
        <v>0.13324356770127566</v>
      </c>
      <c r="Q13" s="58">
        <v>7.7963460000550011E-3</v>
      </c>
      <c r="S13" s="54">
        <v>0.12432718736311482</v>
      </c>
      <c r="T13" s="59">
        <v>5.6020095937786389E-3</v>
      </c>
      <c r="U13" s="52"/>
      <c r="V13" s="52"/>
      <c r="W13" s="52"/>
      <c r="X13" s="52"/>
      <c r="Y13" s="56"/>
      <c r="AB13" s="41"/>
    </row>
    <row r="14" spans="1:31" x14ac:dyDescent="0.3">
      <c r="A14">
        <v>0.13544900000000001</v>
      </c>
      <c r="B14" s="3" t="s">
        <v>15</v>
      </c>
      <c r="E14" s="65">
        <v>2</v>
      </c>
      <c r="F14">
        <v>695</v>
      </c>
      <c r="I14">
        <v>799</v>
      </c>
      <c r="L14">
        <v>578</v>
      </c>
      <c r="O14">
        <v>313</v>
      </c>
      <c r="R14" s="3">
        <v>500</v>
      </c>
      <c r="Z14">
        <v>695</v>
      </c>
    </row>
    <row r="15" spans="1:31" x14ac:dyDescent="0.3">
      <c r="B15" s="3" t="s">
        <v>16</v>
      </c>
      <c r="C15" s="3">
        <v>14316</v>
      </c>
      <c r="D15" s="3">
        <v>12053.229712800001</v>
      </c>
      <c r="E15" s="65"/>
      <c r="F15">
        <v>12465</v>
      </c>
      <c r="I15">
        <v>12493</v>
      </c>
      <c r="L15">
        <v>12510</v>
      </c>
      <c r="O15" s="20">
        <v>12401</v>
      </c>
      <c r="R15" s="3">
        <v>12516</v>
      </c>
      <c r="U15">
        <v>12.929589270746019</v>
      </c>
      <c r="V15">
        <v>12.73400391170718</v>
      </c>
      <c r="W15">
        <v>12.615255658005028</v>
      </c>
      <c r="X15" s="20">
        <v>13.376641519977648</v>
      </c>
      <c r="Y15" s="3">
        <v>12.573344509639565</v>
      </c>
      <c r="Z15">
        <v>12465</v>
      </c>
      <c r="AA15">
        <v>12353.277513007601</v>
      </c>
      <c r="AB15" s="3">
        <v>12305.6997247493</v>
      </c>
      <c r="AC15">
        <v>12.929589270746019</v>
      </c>
      <c r="AD15">
        <v>13.709992225428886</v>
      </c>
      <c r="AE15" s="20">
        <v>14.042332182527941</v>
      </c>
    </row>
    <row r="16" spans="1:31" x14ac:dyDescent="0.3">
      <c r="B16" s="3" t="s">
        <v>10</v>
      </c>
      <c r="D16" s="3">
        <v>73818</v>
      </c>
      <c r="E16" s="65"/>
      <c r="F16">
        <v>77983</v>
      </c>
      <c r="I16">
        <v>77769</v>
      </c>
      <c r="L16">
        <v>79194</v>
      </c>
      <c r="O16">
        <v>77268</v>
      </c>
      <c r="R16" s="3">
        <v>77347</v>
      </c>
      <c r="U16">
        <v>12.789564</v>
      </c>
      <c r="V16">
        <v>12.654387</v>
      </c>
      <c r="W16">
        <v>12.453569999999999</v>
      </c>
      <c r="X16">
        <v>13.176546889999999</v>
      </c>
      <c r="Y16" s="3">
        <v>12.908975</v>
      </c>
      <c r="Z16">
        <v>77983</v>
      </c>
      <c r="AA16">
        <v>77388</v>
      </c>
      <c r="AB16" s="3">
        <v>77178</v>
      </c>
    </row>
    <row r="17" spans="1:31" x14ac:dyDescent="0.3">
      <c r="B17" s="3" t="s">
        <v>11</v>
      </c>
      <c r="D17" s="3">
        <v>20017</v>
      </c>
      <c r="E17" s="65"/>
      <c r="F17">
        <v>20512</v>
      </c>
      <c r="I17">
        <v>20374</v>
      </c>
      <c r="L17">
        <v>20549</v>
      </c>
      <c r="O17">
        <v>20344</v>
      </c>
      <c r="R17" s="3">
        <v>20339</v>
      </c>
      <c r="U17">
        <f>SUM(U15:U16)/2.013</f>
        <v>12.776529195601601</v>
      </c>
      <c r="V17">
        <f>SUM(V15:V16)/2.1</f>
        <v>12.089709957955799</v>
      </c>
      <c r="W17">
        <f>SUM(W15:W16)/2.2</f>
        <v>11.394920753638647</v>
      </c>
      <c r="X17">
        <f>SUM(X15:X16)/2.06</f>
        <v>12.889897286396916</v>
      </c>
      <c r="Y17" s="3">
        <f>SUM(Y15:Y16)/2.22</f>
        <v>11.478522301639444</v>
      </c>
      <c r="Z17">
        <v>20512</v>
      </c>
      <c r="AA17">
        <v>20401</v>
      </c>
      <c r="AB17" s="3">
        <v>20267</v>
      </c>
    </row>
    <row r="18" spans="1:31" x14ac:dyDescent="0.3">
      <c r="B18" s="3" t="s">
        <v>12</v>
      </c>
      <c r="D18" s="3">
        <v>120</v>
      </c>
      <c r="E18" s="65"/>
      <c r="F18">
        <v>246</v>
      </c>
      <c r="I18">
        <v>42</v>
      </c>
      <c r="L18">
        <v>517</v>
      </c>
      <c r="O18">
        <v>460</v>
      </c>
      <c r="R18" s="3">
        <v>0</v>
      </c>
      <c r="U18">
        <f>SUM(U15:U17)/3</f>
        <v>12.831894155449206</v>
      </c>
      <c r="V18">
        <f>SUM(V15:V17)/3.1</f>
        <v>12.089709957955799</v>
      </c>
      <c r="W18">
        <f>SUM(W15:W17)/3.15</f>
        <v>11.575792511632912</v>
      </c>
      <c r="X18">
        <f>SUM(X15:X17)/2.7</f>
        <v>14.608550257916505</v>
      </c>
      <c r="Y18" s="3">
        <f>SUM(Y15:Y17)/2.9</f>
        <v>12.74511786595828</v>
      </c>
      <c r="Z18">
        <v>246</v>
      </c>
      <c r="AA18">
        <v>1076</v>
      </c>
      <c r="AB18" s="3">
        <v>1004</v>
      </c>
    </row>
    <row r="19" spans="1:31" x14ac:dyDescent="0.3">
      <c r="B19" s="3" t="s">
        <v>13</v>
      </c>
      <c r="D19" s="3">
        <v>456</v>
      </c>
      <c r="E19" s="65"/>
      <c r="F19">
        <v>280</v>
      </c>
      <c r="I19">
        <v>0</v>
      </c>
      <c r="L19">
        <v>174</v>
      </c>
      <c r="O19">
        <v>252</v>
      </c>
      <c r="R19" s="3">
        <v>213</v>
      </c>
      <c r="U19">
        <f>SUM(U15:U18)/4.2</f>
        <v>12.220851576618291</v>
      </c>
      <c r="V19">
        <f>SUM(V15:V18)/4.22</f>
        <v>11.745926736402556</v>
      </c>
      <c r="W19">
        <f>SUM(W15:W18)/4.08</f>
        <v>11.77439679492073</v>
      </c>
      <c r="X19">
        <f>SUM(X15:X18)/4.3</f>
        <v>12.570147896346761</v>
      </c>
      <c r="Y19" s="3">
        <f>SUM(Y15:Y18)/3.99</f>
        <v>12.457634004320122</v>
      </c>
      <c r="Z19">
        <v>280</v>
      </c>
      <c r="AA19">
        <v>135</v>
      </c>
      <c r="AB19" s="3">
        <v>98</v>
      </c>
    </row>
    <row r="20" spans="1:31" s="1" customFormat="1" x14ac:dyDescent="0.3">
      <c r="B20" s="5" t="s">
        <v>14</v>
      </c>
      <c r="C20" s="3"/>
      <c r="D20" s="3">
        <v>235</v>
      </c>
      <c r="E20" s="65"/>
      <c r="F20" s="1">
        <v>178</v>
      </c>
      <c r="H20" s="5"/>
      <c r="I20" s="1">
        <v>651</v>
      </c>
      <c r="K20" s="5"/>
      <c r="L20" s="1">
        <v>0</v>
      </c>
      <c r="N20" s="5"/>
      <c r="O20" s="1">
        <v>386</v>
      </c>
      <c r="Q20" s="5"/>
      <c r="R20" s="5">
        <v>949</v>
      </c>
      <c r="U20" s="25">
        <v>2.7977664435563927E-3</v>
      </c>
      <c r="V20" s="25">
        <v>4.1906198441704874E-3</v>
      </c>
      <c r="W20" s="25">
        <v>5.4182815078228997E-3</v>
      </c>
      <c r="X20" s="25">
        <v>7.7963460000550011E-3</v>
      </c>
      <c r="Y20" s="55">
        <v>5.6020095937786389E-3</v>
      </c>
      <c r="Z20" s="1">
        <v>178</v>
      </c>
      <c r="AA20" s="1">
        <v>0</v>
      </c>
      <c r="AB20" s="5">
        <v>87</v>
      </c>
    </row>
    <row r="21" spans="1:31" s="40" customFormat="1" x14ac:dyDescent="0.3">
      <c r="B21" s="41"/>
      <c r="C21" s="41"/>
      <c r="D21" s="41"/>
      <c r="E21" s="53"/>
      <c r="G21" s="54">
        <v>0.11474149490355211</v>
      </c>
      <c r="H21" s="56">
        <v>2.9999999999999997E-4</v>
      </c>
      <c r="J21" s="54">
        <v>0.11468509350857722</v>
      </c>
      <c r="K21" s="56">
        <v>1E-4</v>
      </c>
      <c r="M21" s="54">
        <v>0.11458952496287815</v>
      </c>
      <c r="N21" s="57">
        <v>0</v>
      </c>
      <c r="P21" s="54">
        <v>0.11387278985626453</v>
      </c>
      <c r="Q21" s="57">
        <v>0</v>
      </c>
      <c r="R21" s="41"/>
      <c r="S21" s="54">
        <v>0.11510423704545372</v>
      </c>
      <c r="T21" s="60">
        <v>0</v>
      </c>
      <c r="U21" s="52"/>
      <c r="V21" s="52"/>
      <c r="W21" s="52"/>
      <c r="X21" s="52"/>
      <c r="Y21" s="56"/>
      <c r="AB21" s="41"/>
    </row>
    <row r="22" spans="1:31" x14ac:dyDescent="0.3">
      <c r="A22">
        <v>0.1231511</v>
      </c>
      <c r="B22" s="3" t="s">
        <v>15</v>
      </c>
      <c r="E22" s="65">
        <v>3</v>
      </c>
      <c r="F22">
        <v>6</v>
      </c>
      <c r="I22">
        <v>5</v>
      </c>
      <c r="L22">
        <v>6</v>
      </c>
      <c r="O22">
        <v>9</v>
      </c>
      <c r="R22" s="3">
        <v>2</v>
      </c>
      <c r="Z22">
        <v>6</v>
      </c>
    </row>
    <row r="23" spans="1:31" x14ac:dyDescent="0.3">
      <c r="B23" s="3" t="s">
        <v>16</v>
      </c>
      <c r="C23" s="3">
        <v>7623</v>
      </c>
      <c r="D23" s="3">
        <v>6746.5333792000001</v>
      </c>
      <c r="E23" s="65"/>
      <c r="F23" s="20">
        <v>6746</v>
      </c>
      <c r="I23" s="20">
        <v>6746</v>
      </c>
      <c r="L23" s="20">
        <v>6746</v>
      </c>
      <c r="O23" s="20">
        <v>6746</v>
      </c>
      <c r="R23" s="20">
        <v>6746</v>
      </c>
      <c r="U23" s="20">
        <v>11.504656959202414</v>
      </c>
      <c r="V23" s="20">
        <v>11.504656959202414</v>
      </c>
      <c r="W23" s="20">
        <v>11.504656959202414</v>
      </c>
      <c r="X23" s="20">
        <v>11.504656959202414</v>
      </c>
      <c r="Y23" s="21">
        <v>11.504656959202414</v>
      </c>
      <c r="Z23">
        <v>6746</v>
      </c>
      <c r="AA23">
        <v>6746.5347293843597</v>
      </c>
      <c r="AB23" s="3">
        <v>6746.5347293843597</v>
      </c>
      <c r="AC23" s="20">
        <v>11.504656959202414</v>
      </c>
      <c r="AD23" s="20">
        <v>11.497642274900175</v>
      </c>
      <c r="AE23" s="20">
        <v>11.497642274900175</v>
      </c>
    </row>
    <row r="24" spans="1:31" x14ac:dyDescent="0.3">
      <c r="B24" s="3" t="s">
        <v>10</v>
      </c>
      <c r="D24" s="3">
        <v>37680</v>
      </c>
      <c r="E24" s="65"/>
      <c r="F24">
        <v>37680</v>
      </c>
      <c r="I24">
        <v>37680</v>
      </c>
      <c r="L24">
        <v>37680</v>
      </c>
      <c r="O24">
        <v>37680</v>
      </c>
      <c r="R24">
        <v>37680</v>
      </c>
      <c r="U24" s="20">
        <v>11.504656959202414</v>
      </c>
      <c r="V24" s="20">
        <v>11.504656959202414</v>
      </c>
      <c r="W24" s="20">
        <v>11.504656959202414</v>
      </c>
      <c r="X24" s="20">
        <v>11.504656959202414</v>
      </c>
      <c r="Y24" s="21">
        <v>11.504656959202414</v>
      </c>
      <c r="Z24">
        <v>37680</v>
      </c>
      <c r="AA24">
        <v>37680</v>
      </c>
      <c r="AB24" s="3">
        <v>37680</v>
      </c>
    </row>
    <row r="25" spans="1:31" x14ac:dyDescent="0.3">
      <c r="B25" s="3" t="s">
        <v>11</v>
      </c>
      <c r="D25" s="3">
        <v>12226</v>
      </c>
      <c r="E25" s="65"/>
      <c r="F25">
        <v>12226</v>
      </c>
      <c r="I25">
        <v>12226</v>
      </c>
      <c r="L25">
        <v>12226</v>
      </c>
      <c r="O25">
        <v>12226</v>
      </c>
      <c r="R25">
        <v>12226</v>
      </c>
      <c r="U25">
        <f>SUM(U23:U24)/2.01</f>
        <v>11.447419859902901</v>
      </c>
      <c r="V25">
        <f>SUM(V23:V24)/2</f>
        <v>11.504656959202414</v>
      </c>
      <c r="W25">
        <f>SUM(W23:W24)/2.01</f>
        <v>11.447419859902901</v>
      </c>
      <c r="X25">
        <f>SUM(X23:X24)/2.06</f>
        <v>11.169569863303314</v>
      </c>
      <c r="Y25" s="3">
        <f>SUM(Y23:Y24)/2</f>
        <v>11.504656959202414</v>
      </c>
      <c r="Z25">
        <v>12226</v>
      </c>
      <c r="AA25">
        <v>12226</v>
      </c>
      <c r="AB25" s="3">
        <v>12226</v>
      </c>
    </row>
    <row r="26" spans="1:31" x14ac:dyDescent="0.3">
      <c r="B26" s="3" t="s">
        <v>12</v>
      </c>
      <c r="D26" s="3">
        <v>9541</v>
      </c>
      <c r="E26" s="65"/>
      <c r="F26">
        <v>9637</v>
      </c>
      <c r="I26">
        <v>9637</v>
      </c>
      <c r="L26">
        <v>9637</v>
      </c>
      <c r="O26">
        <v>9541</v>
      </c>
      <c r="R26">
        <v>9541</v>
      </c>
      <c r="U26">
        <f>SUM(U23:U25)/3</f>
        <v>11.485577926102577</v>
      </c>
      <c r="V26">
        <f>SUM(V23:V25)/3.02</f>
        <v>11.428467178015643</v>
      </c>
      <c r="W26">
        <f>SUM(W23:W25)/3.01</f>
        <v>11.447419859902901</v>
      </c>
      <c r="X26">
        <f>SUM(X23:X25)/3</f>
        <v>11.392961260569381</v>
      </c>
      <c r="Y26" s="3">
        <f>SUM(Y23:Y25)/3</f>
        <v>11.504656959202414</v>
      </c>
      <c r="Z26">
        <v>9637</v>
      </c>
      <c r="AA26">
        <v>9637</v>
      </c>
      <c r="AB26" s="3">
        <v>8745</v>
      </c>
    </row>
    <row r="27" spans="1:31" x14ac:dyDescent="0.3">
      <c r="B27" s="3" t="s">
        <v>13</v>
      </c>
      <c r="D27" s="3">
        <v>0</v>
      </c>
      <c r="E27" s="65"/>
      <c r="F27">
        <v>0</v>
      </c>
      <c r="I27">
        <v>0</v>
      </c>
      <c r="L27">
        <v>0</v>
      </c>
      <c r="O27">
        <v>0</v>
      </c>
      <c r="R27">
        <v>0</v>
      </c>
      <c r="U27">
        <f>SUM(U23:U26)/4.02</f>
        <v>11.42843574736575</v>
      </c>
      <c r="V27">
        <f>SUM(V23:V26)/4.03</f>
        <v>11.400108698665727</v>
      </c>
      <c r="W27">
        <f>SUM(W23:W26)/4.03</f>
        <v>11.390608843228444</v>
      </c>
      <c r="X27">
        <f>SUM(X23:X26)/4.01</f>
        <v>11.364549885854744</v>
      </c>
      <c r="Y27" s="3">
        <f>SUM(Y23:Y26)/3.99</f>
        <v>11.533490685917206</v>
      </c>
      <c r="Z27">
        <v>0</v>
      </c>
      <c r="AA27">
        <v>0</v>
      </c>
      <c r="AB27" s="3">
        <v>0</v>
      </c>
    </row>
    <row r="28" spans="1:31" s="1" customFormat="1" x14ac:dyDescent="0.3">
      <c r="B28" s="5" t="s">
        <v>14</v>
      </c>
      <c r="C28" s="3"/>
      <c r="D28" s="3">
        <v>0</v>
      </c>
      <c r="E28" s="65"/>
      <c r="F28" s="1">
        <v>0</v>
      </c>
      <c r="H28" s="5"/>
      <c r="I28" s="1">
        <v>0</v>
      </c>
      <c r="K28" s="5"/>
      <c r="L28" s="1">
        <v>0</v>
      </c>
      <c r="N28" s="5"/>
      <c r="O28" s="1">
        <v>0</v>
      </c>
      <c r="Q28" s="5"/>
      <c r="R28" s="1">
        <v>0</v>
      </c>
      <c r="U28" s="25">
        <v>3.4627445389392238E-4</v>
      </c>
      <c r="V28" s="25">
        <v>5.0502409826979917E-4</v>
      </c>
      <c r="W28" s="25">
        <v>4.7735349003900994E-4</v>
      </c>
      <c r="X28" s="25">
        <v>1.3738753539647328E-3</v>
      </c>
      <c r="Y28" s="55">
        <v>1.2894834595785325E-4</v>
      </c>
      <c r="Z28" s="1">
        <v>0</v>
      </c>
      <c r="AA28" s="1">
        <v>0</v>
      </c>
      <c r="AB28" s="5">
        <v>0</v>
      </c>
    </row>
    <row r="29" spans="1:31" s="40" customFormat="1" x14ac:dyDescent="0.3">
      <c r="B29" s="41"/>
      <c r="C29" s="41"/>
      <c r="D29" s="41"/>
      <c r="E29" s="53"/>
      <c r="G29" s="54">
        <v>3.0420182202427943E-2</v>
      </c>
      <c r="H29" s="58">
        <v>1.0479637510093938E-3</v>
      </c>
      <c r="J29" s="54">
        <v>3.0682083817323059E-2</v>
      </c>
      <c r="K29" s="58">
        <v>1.367621165253282E-3</v>
      </c>
      <c r="M29" s="54">
        <v>3.0358041067336146E-2</v>
      </c>
      <c r="N29" s="58">
        <v>8.0304377937365126E-4</v>
      </c>
      <c r="P29" s="54">
        <v>3.2219966940906432E-2</v>
      </c>
      <c r="Q29" s="58">
        <v>1.8783954486622074E-3</v>
      </c>
      <c r="S29" s="54">
        <v>3.1498888249525715E-2</v>
      </c>
      <c r="T29" s="59">
        <v>1.3870894391128253E-3</v>
      </c>
      <c r="U29" s="52"/>
      <c r="V29" s="52"/>
      <c r="W29" s="52"/>
      <c r="X29" s="52"/>
      <c r="Y29" s="56"/>
      <c r="AB29" s="41"/>
    </row>
    <row r="30" spans="1:31" x14ac:dyDescent="0.3">
      <c r="A30">
        <v>0.11086</v>
      </c>
      <c r="B30" s="3" t="s">
        <v>15</v>
      </c>
      <c r="E30" s="65">
        <v>5.16</v>
      </c>
      <c r="F30">
        <v>62</v>
      </c>
      <c r="I30">
        <v>63</v>
      </c>
      <c r="L30">
        <v>87</v>
      </c>
      <c r="O30">
        <v>54</v>
      </c>
      <c r="R30" s="3">
        <v>65</v>
      </c>
      <c r="Z30">
        <v>62</v>
      </c>
    </row>
    <row r="31" spans="1:31" x14ac:dyDescent="0.3">
      <c r="B31" s="3" t="s">
        <v>16</v>
      </c>
      <c r="C31" s="3">
        <v>11586</v>
      </c>
      <c r="D31" s="3">
        <v>10969.336879999999</v>
      </c>
      <c r="E31" s="65"/>
      <c r="F31">
        <v>11229</v>
      </c>
      <c r="I31">
        <v>11217</v>
      </c>
      <c r="L31">
        <v>11217</v>
      </c>
      <c r="O31">
        <v>11215</v>
      </c>
      <c r="R31" s="21">
        <v>11212</v>
      </c>
      <c r="U31">
        <v>3.0813050233039876</v>
      </c>
      <c r="V31">
        <v>3.1848783013982391</v>
      </c>
      <c r="W31">
        <v>3.1848783013982391</v>
      </c>
      <c r="X31">
        <v>3.2021405144139479</v>
      </c>
      <c r="Y31" s="21">
        <v>3.228033833937511</v>
      </c>
      <c r="Z31">
        <v>11229</v>
      </c>
      <c r="AA31">
        <v>11220.1549834781</v>
      </c>
      <c r="AB31" s="3">
        <v>11192.774082144801</v>
      </c>
      <c r="AC31">
        <v>3.0813050233039876</v>
      </c>
      <c r="AD31">
        <v>3.1576473029682384</v>
      </c>
      <c r="AE31" s="20">
        <v>3.3939747786569949</v>
      </c>
    </row>
    <row r="32" spans="1:31" x14ac:dyDescent="0.3">
      <c r="B32" s="3" t="s">
        <v>10</v>
      </c>
      <c r="D32" s="3">
        <v>43770</v>
      </c>
      <c r="E32" s="65"/>
      <c r="F32">
        <v>46378</v>
      </c>
      <c r="I32">
        <v>46038</v>
      </c>
      <c r="L32">
        <v>46038</v>
      </c>
      <c r="O32">
        <v>46284</v>
      </c>
      <c r="R32" s="3">
        <v>45661</v>
      </c>
      <c r="U32">
        <v>3.1245302330398999</v>
      </c>
      <c r="V32">
        <v>3.1674398648739999</v>
      </c>
      <c r="W32">
        <v>3.1768535400000002</v>
      </c>
      <c r="X32">
        <v>3.21875369838</v>
      </c>
      <c r="Y32" s="21">
        <v>3.228033833937511</v>
      </c>
      <c r="Z32">
        <v>46378</v>
      </c>
      <c r="AA32">
        <v>46221</v>
      </c>
      <c r="AB32" s="3">
        <v>46253</v>
      </c>
    </row>
    <row r="33" spans="1:31" x14ac:dyDescent="0.3">
      <c r="B33" s="3" t="s">
        <v>11</v>
      </c>
      <c r="D33">
        <v>22571</v>
      </c>
      <c r="E33" s="65"/>
      <c r="F33">
        <v>22931</v>
      </c>
      <c r="I33">
        <v>22939</v>
      </c>
      <c r="L33">
        <v>22939</v>
      </c>
      <c r="O33">
        <v>22908</v>
      </c>
      <c r="R33" s="3">
        <v>22969</v>
      </c>
      <c r="U33">
        <f>SUM(U31:U32)/2.013</f>
        <v>3.0828789152229943</v>
      </c>
      <c r="V33">
        <f>SUM(V31:V32)/2.1</f>
        <v>3.0249134125105899</v>
      </c>
      <c r="W33">
        <f>SUM(W31:W32)/2.2</f>
        <v>2.8916962915446538</v>
      </c>
      <c r="X33">
        <f>SUM(X31:X32)/2.06</f>
        <v>3.1169389382494894</v>
      </c>
      <c r="Y33" s="3">
        <f>SUM(Y31:Y32)/2.22</f>
        <v>2.9081385891328924</v>
      </c>
      <c r="Z33">
        <v>22931</v>
      </c>
      <c r="AA33">
        <v>22926</v>
      </c>
      <c r="AB33" s="3">
        <v>22854</v>
      </c>
    </row>
    <row r="34" spans="1:31" x14ac:dyDescent="0.3">
      <c r="B34" s="3" t="s">
        <v>12</v>
      </c>
      <c r="D34" s="3">
        <v>0</v>
      </c>
      <c r="E34" s="65"/>
      <c r="F34">
        <v>0</v>
      </c>
      <c r="I34">
        <v>0</v>
      </c>
      <c r="L34">
        <v>0</v>
      </c>
      <c r="O34">
        <v>0</v>
      </c>
      <c r="R34" s="3">
        <v>0</v>
      </c>
      <c r="U34">
        <f>SUM(U31:U33)/3.1</f>
        <v>2.9963594101828646</v>
      </c>
      <c r="V34">
        <f>SUM(V31:V33)/3.1</f>
        <v>3.0249134125105903</v>
      </c>
      <c r="W34">
        <f>SUM(W31:W33)/3.15</f>
        <v>2.9375962326802836</v>
      </c>
      <c r="X34">
        <f>SUM(X31:X33)/2.7</f>
        <v>3.5325307966827548</v>
      </c>
      <c r="Y34" s="3">
        <f>SUM(Y31:Y33)/2.9</f>
        <v>3.229036640347557</v>
      </c>
      <c r="Z34">
        <v>0</v>
      </c>
      <c r="AA34">
        <v>0</v>
      </c>
      <c r="AB34" s="3">
        <v>0</v>
      </c>
    </row>
    <row r="35" spans="1:31" x14ac:dyDescent="0.3">
      <c r="B35" s="3" t="s">
        <v>13</v>
      </c>
      <c r="D35" s="3">
        <v>0</v>
      </c>
      <c r="E35" s="65"/>
      <c r="F35">
        <v>0</v>
      </c>
      <c r="I35">
        <v>0</v>
      </c>
      <c r="L35">
        <v>0</v>
      </c>
      <c r="O35">
        <v>0</v>
      </c>
      <c r="R35" s="3">
        <v>0</v>
      </c>
      <c r="U35">
        <f>SUM(U31:U34)/4.2</f>
        <v>2.9250175194642249</v>
      </c>
      <c r="V35">
        <f>SUM(V31:V34)/4.22</f>
        <v>2.9388969173681092</v>
      </c>
      <c r="W35">
        <f>SUM(W31:W34)/4.08</f>
        <v>2.9879961680448961</v>
      </c>
      <c r="X35">
        <f>SUM(X31:X34)/4.3</f>
        <v>3.0396195227270217</v>
      </c>
      <c r="Y35" s="3">
        <f>SUM(Y31:Y34)/3.99</f>
        <v>3.1562012274073861</v>
      </c>
      <c r="Z35">
        <v>0</v>
      </c>
      <c r="AA35">
        <v>0</v>
      </c>
      <c r="AB35" s="3">
        <v>0</v>
      </c>
    </row>
    <row r="36" spans="1:31" s="1" customFormat="1" x14ac:dyDescent="0.3">
      <c r="B36" s="5" t="s">
        <v>14</v>
      </c>
      <c r="C36" s="3"/>
      <c r="D36" s="3">
        <v>0</v>
      </c>
      <c r="E36" s="65"/>
      <c r="F36" s="1">
        <v>0</v>
      </c>
      <c r="H36" s="5"/>
      <c r="I36" s="1">
        <v>0</v>
      </c>
      <c r="K36" s="5"/>
      <c r="L36" s="1">
        <v>0</v>
      </c>
      <c r="N36" s="5"/>
      <c r="O36" s="1">
        <v>0</v>
      </c>
      <c r="Q36" s="5"/>
      <c r="R36" s="5">
        <v>0</v>
      </c>
      <c r="U36" s="25">
        <v>8.0304377937365126E-4</v>
      </c>
      <c r="V36" s="25">
        <v>1.0479637510093938E-3</v>
      </c>
      <c r="W36" s="25">
        <v>1.367621165253282E-3</v>
      </c>
      <c r="X36" s="25">
        <v>1.8783954486622074E-3</v>
      </c>
      <c r="Y36" s="55">
        <v>1.3870894391128253E-3</v>
      </c>
      <c r="Z36" s="1">
        <v>0</v>
      </c>
      <c r="AA36" s="1">
        <v>0</v>
      </c>
      <c r="AB36" s="5">
        <v>0</v>
      </c>
    </row>
    <row r="37" spans="1:31" s="40" customFormat="1" x14ac:dyDescent="0.3">
      <c r="B37" s="41"/>
      <c r="C37" s="41"/>
      <c r="D37" s="41"/>
      <c r="E37" s="53"/>
      <c r="G37" s="54">
        <v>2.5190762199966642E-2</v>
      </c>
      <c r="H37" s="58">
        <v>8.977713258369309E-4</v>
      </c>
      <c r="J37" s="54">
        <v>2.1659283122274879E-2</v>
      </c>
      <c r="K37" s="58">
        <v>1.171205097118444E-3</v>
      </c>
      <c r="M37" s="54">
        <v>2.3304198181578271E-2</v>
      </c>
      <c r="N37" s="58">
        <v>1.0927963129019537E-3</v>
      </c>
      <c r="P37" s="54">
        <v>2.4574341917225292E-2</v>
      </c>
      <c r="Q37" s="58">
        <v>1.4546126619133526E-3</v>
      </c>
      <c r="R37" s="41"/>
      <c r="S37" s="54">
        <v>2.4113967630517829E-2</v>
      </c>
      <c r="T37" s="59">
        <v>1.0662102398479685E-3</v>
      </c>
      <c r="U37" s="52"/>
      <c r="V37" s="52"/>
      <c r="W37" s="52"/>
      <c r="X37" s="52"/>
      <c r="Y37" s="56"/>
      <c r="AB37" s="41"/>
    </row>
    <row r="38" spans="1:31" x14ac:dyDescent="0.3">
      <c r="A38">
        <v>8.3129999999999996E-2</v>
      </c>
      <c r="B38" s="3" t="s">
        <v>15</v>
      </c>
      <c r="E38" s="65">
        <v>6.16</v>
      </c>
      <c r="F38">
        <v>161</v>
      </c>
      <c r="I38">
        <v>80</v>
      </c>
      <c r="L38">
        <v>494</v>
      </c>
      <c r="O38">
        <v>385</v>
      </c>
      <c r="R38" s="3">
        <v>970</v>
      </c>
      <c r="Z38">
        <v>161</v>
      </c>
    </row>
    <row r="39" spans="1:31" x14ac:dyDescent="0.3">
      <c r="B39" s="3" t="s">
        <v>16</v>
      </c>
      <c r="C39" s="3">
        <v>7888</v>
      </c>
      <c r="D39" s="3">
        <v>7598.456596</v>
      </c>
      <c r="E39" s="65"/>
      <c r="F39" s="20">
        <v>7679</v>
      </c>
      <c r="I39">
        <v>7701</v>
      </c>
      <c r="L39">
        <v>7692</v>
      </c>
      <c r="O39">
        <v>7692</v>
      </c>
      <c r="R39">
        <v>7692</v>
      </c>
      <c r="U39" s="20">
        <v>2.6495943204868153</v>
      </c>
      <c r="V39">
        <v>2.3706896551724137</v>
      </c>
      <c r="W39">
        <v>2.4847870182555782</v>
      </c>
      <c r="X39">
        <v>2.4847870182555782</v>
      </c>
      <c r="Y39" s="3">
        <v>2.4847870182555782</v>
      </c>
      <c r="Z39">
        <v>7679</v>
      </c>
      <c r="AA39">
        <v>7692.9447134202701</v>
      </c>
      <c r="AB39" s="3">
        <v>7701.9865426960496</v>
      </c>
      <c r="AC39" s="20">
        <v>2.6495943204868153</v>
      </c>
      <c r="AD39">
        <v>2.472810428242012</v>
      </c>
      <c r="AE39">
        <v>2.3581827751515014</v>
      </c>
    </row>
    <row r="40" spans="1:31" x14ac:dyDescent="0.3">
      <c r="B40" s="3" t="s">
        <v>10</v>
      </c>
      <c r="D40" s="3">
        <v>52173</v>
      </c>
      <c r="E40" s="65"/>
      <c r="F40">
        <v>53135</v>
      </c>
      <c r="I40">
        <v>52663</v>
      </c>
      <c r="L40">
        <v>52355</v>
      </c>
      <c r="O40">
        <v>52355</v>
      </c>
      <c r="R40">
        <v>52355</v>
      </c>
      <c r="U40">
        <v>2.4479753</v>
      </c>
      <c r="V40">
        <v>2.1135774000000001</v>
      </c>
      <c r="W40">
        <v>2.3987645679999998</v>
      </c>
      <c r="X40">
        <v>2.4124634999999999</v>
      </c>
      <c r="Y40" s="3">
        <v>2.4576543000000002</v>
      </c>
      <c r="Z40">
        <v>53135</v>
      </c>
      <c r="AA40">
        <v>52355</v>
      </c>
      <c r="AB40" s="3">
        <v>52663</v>
      </c>
    </row>
    <row r="41" spans="1:31" x14ac:dyDescent="0.3">
      <c r="B41" s="3" t="s">
        <v>11</v>
      </c>
      <c r="D41" s="3">
        <v>14659</v>
      </c>
      <c r="E41" s="65"/>
      <c r="F41">
        <v>14782</v>
      </c>
      <c r="I41">
        <v>14877</v>
      </c>
      <c r="L41">
        <v>14880</v>
      </c>
      <c r="O41">
        <v>14880</v>
      </c>
      <c r="R41">
        <v>14880</v>
      </c>
      <c r="U41">
        <f>SUM(U39:U40)/2.013</f>
        <v>2.5323246996953879</v>
      </c>
      <c r="V41">
        <f>SUM(V39:V40)/2.1</f>
        <v>2.1353652643678158</v>
      </c>
      <c r="W41">
        <f>SUM(W39:W40)/2.2</f>
        <v>2.2197961755707172</v>
      </c>
      <c r="X41">
        <f>SUM(X39:X40)/2.06</f>
        <v>2.3773060768230962</v>
      </c>
      <c r="Y41" s="3">
        <f>SUM(Y39:Y40)/2.22</f>
        <v>2.2263249181331433</v>
      </c>
      <c r="Z41">
        <v>14782</v>
      </c>
      <c r="AA41">
        <v>14880</v>
      </c>
      <c r="AB41" s="3">
        <v>14877</v>
      </c>
    </row>
    <row r="42" spans="1:31" x14ac:dyDescent="0.3">
      <c r="B42" s="3" t="s">
        <v>12</v>
      </c>
      <c r="D42" s="3">
        <v>0</v>
      </c>
      <c r="E42" s="65"/>
      <c r="F42">
        <v>0</v>
      </c>
      <c r="I42">
        <v>0</v>
      </c>
      <c r="L42">
        <v>0</v>
      </c>
      <c r="O42">
        <v>0</v>
      </c>
      <c r="R42">
        <v>0</v>
      </c>
      <c r="U42">
        <f>SUM(U39:U41)/3</f>
        <v>2.5432981067274012</v>
      </c>
      <c r="V42">
        <f>SUM(V39:V41)/3.1</f>
        <v>2.1353652643678158</v>
      </c>
      <c r="W42">
        <f>SUM(W39:W41)/3.15</f>
        <v>2.2550310355004113</v>
      </c>
      <c r="X42">
        <f>SUM(X39:X41)/2.7</f>
        <v>2.6942802203995089</v>
      </c>
      <c r="Y42" s="3">
        <f>SUM(Y39:Y41)/2.9</f>
        <v>2.4719883573754213</v>
      </c>
      <c r="Z42">
        <v>0</v>
      </c>
      <c r="AA42">
        <v>0</v>
      </c>
      <c r="AB42" s="3">
        <v>0</v>
      </c>
    </row>
    <row r="43" spans="1:31" x14ac:dyDescent="0.3">
      <c r="B43" s="3" t="s">
        <v>13</v>
      </c>
      <c r="D43" s="3">
        <v>0</v>
      </c>
      <c r="E43" s="65"/>
      <c r="F43">
        <v>0</v>
      </c>
      <c r="I43">
        <v>0</v>
      </c>
      <c r="L43">
        <v>0</v>
      </c>
      <c r="O43">
        <v>0</v>
      </c>
      <c r="R43">
        <v>0</v>
      </c>
      <c r="U43">
        <f>SUM(U39:U42)/4.2</f>
        <v>2.4221886730737152</v>
      </c>
      <c r="V43">
        <f>SUM(V39:V42)/4.22</f>
        <v>2.0746439772293948</v>
      </c>
      <c r="W43">
        <f>SUM(W39:W42)/4.08</f>
        <v>2.2937202934624286</v>
      </c>
      <c r="X43">
        <f>SUM(X39:X42)/4.3</f>
        <v>2.3183341431344617</v>
      </c>
      <c r="Y43" s="3">
        <f>SUM(Y39:Y42)/3.99</f>
        <v>2.4162292214947727</v>
      </c>
      <c r="Z43">
        <v>0</v>
      </c>
      <c r="AA43">
        <v>0</v>
      </c>
      <c r="AB43" s="3">
        <v>0</v>
      </c>
    </row>
    <row r="44" spans="1:31" s="1" customFormat="1" x14ac:dyDescent="0.3">
      <c r="B44" s="5" t="s">
        <v>14</v>
      </c>
      <c r="C44" s="3"/>
      <c r="D44" s="1">
        <v>0</v>
      </c>
      <c r="E44" s="65"/>
      <c r="F44" s="1">
        <v>0</v>
      </c>
      <c r="H44" s="5"/>
      <c r="I44" s="1">
        <v>0</v>
      </c>
      <c r="K44" s="5"/>
      <c r="L44" s="1">
        <v>0</v>
      </c>
      <c r="N44" s="5"/>
      <c r="O44" s="1">
        <v>0</v>
      </c>
      <c r="Q44" s="5"/>
      <c r="R44" s="1">
        <v>0</v>
      </c>
      <c r="U44" s="25">
        <v>8.977713258369309E-4</v>
      </c>
      <c r="V44" s="25">
        <v>1.171205097118444E-3</v>
      </c>
      <c r="W44" s="25">
        <v>1.0927963129019537E-3</v>
      </c>
      <c r="X44" s="25">
        <v>1.4546126619133526E-3</v>
      </c>
      <c r="Y44" s="55">
        <v>1.0662102398479685E-3</v>
      </c>
      <c r="Z44" s="1">
        <v>0</v>
      </c>
      <c r="AA44" s="1">
        <v>0</v>
      </c>
      <c r="AB44" s="5">
        <v>0</v>
      </c>
    </row>
    <row r="45" spans="1:31" s="40" customFormat="1" x14ac:dyDescent="0.3">
      <c r="B45" s="41"/>
      <c r="C45" s="41"/>
      <c r="E45" s="53"/>
      <c r="G45" s="54">
        <v>4.7862167287375391E-2</v>
      </c>
      <c r="H45" s="58">
        <v>1.594704984570701E-3</v>
      </c>
      <c r="J45" s="54">
        <v>3.5383662036533925E-2</v>
      </c>
      <c r="K45" s="58">
        <v>2.3628448108513316E-3</v>
      </c>
      <c r="M45" s="44">
        <v>4.901346390132031E-2</v>
      </c>
      <c r="N45" s="58">
        <v>1.490054849172133E-3</v>
      </c>
      <c r="P45" s="54">
        <v>4.9799532376656901E-2</v>
      </c>
      <c r="Q45" s="58">
        <v>1.6638074092586953E-3</v>
      </c>
      <c r="S45" s="54">
        <v>3.5399493437407809E-2</v>
      </c>
      <c r="T45" s="59">
        <v>2.9375484614129897E-3</v>
      </c>
      <c r="U45" s="52"/>
      <c r="V45" s="52"/>
      <c r="W45" s="52"/>
      <c r="X45" s="52"/>
      <c r="Y45" s="56"/>
      <c r="AB45" s="41"/>
    </row>
    <row r="46" spans="1:31" x14ac:dyDescent="0.3">
      <c r="A46">
        <v>0.10184699999999999</v>
      </c>
      <c r="B46" s="3" t="s">
        <v>15</v>
      </c>
      <c r="E46" s="65" t="s">
        <v>2</v>
      </c>
      <c r="F46">
        <v>547</v>
      </c>
      <c r="I46">
        <v>150</v>
      </c>
      <c r="L46">
        <v>348</v>
      </c>
      <c r="O46">
        <v>811</v>
      </c>
      <c r="R46" s="3">
        <v>617</v>
      </c>
      <c r="Z46">
        <v>547</v>
      </c>
    </row>
    <row r="47" spans="1:31" x14ac:dyDescent="0.3">
      <c r="B47" s="3" t="s">
        <v>16</v>
      </c>
      <c r="C47" s="3">
        <v>9748</v>
      </c>
      <c r="D47" s="3">
        <v>9217.5768320000006</v>
      </c>
      <c r="E47" s="65"/>
      <c r="F47" s="20">
        <v>9258</v>
      </c>
      <c r="I47">
        <v>9403</v>
      </c>
      <c r="L47">
        <v>9259</v>
      </c>
      <c r="O47" s="20">
        <v>9258</v>
      </c>
      <c r="R47" s="3">
        <v>9399</v>
      </c>
      <c r="U47" s="20">
        <v>5.0266721378744359</v>
      </c>
      <c r="V47">
        <v>3.5391875256462861</v>
      </c>
      <c r="W47">
        <v>5.0164136233073453</v>
      </c>
      <c r="X47" s="20">
        <v>5.0266721378744359</v>
      </c>
      <c r="Y47" s="3">
        <v>3.5802215839146494</v>
      </c>
      <c r="Z47">
        <v>9258</v>
      </c>
      <c r="AA47">
        <v>9219.2031999999999</v>
      </c>
      <c r="AB47" s="3">
        <v>9395.25</v>
      </c>
      <c r="AC47">
        <v>5.0266721378744359</v>
      </c>
      <c r="AD47" s="20">
        <v>5.4246696758309403</v>
      </c>
      <c r="AE47">
        <v>3.6186910135412393</v>
      </c>
    </row>
    <row r="48" spans="1:31" x14ac:dyDescent="0.3">
      <c r="B48" s="3" t="s">
        <v>10</v>
      </c>
      <c r="D48">
        <v>80640</v>
      </c>
      <c r="E48" s="65"/>
      <c r="F48">
        <v>81016</v>
      </c>
      <c r="I48">
        <v>83159</v>
      </c>
      <c r="L48">
        <v>81017</v>
      </c>
      <c r="O48">
        <v>81016</v>
      </c>
      <c r="R48" s="3">
        <v>83721</v>
      </c>
      <c r="U48">
        <v>4.6586533000000001</v>
      </c>
      <c r="V48">
        <v>3.78653</v>
      </c>
      <c r="W48">
        <v>5.2546876400000002</v>
      </c>
      <c r="X48">
        <v>4.897532</v>
      </c>
      <c r="Y48" s="3">
        <v>3.6753209999999998</v>
      </c>
      <c r="Z48">
        <v>81016</v>
      </c>
      <c r="AA48">
        <v>80876</v>
      </c>
      <c r="AB48" s="3">
        <v>82782</v>
      </c>
    </row>
    <row r="49" spans="1:31" x14ac:dyDescent="0.3">
      <c r="B49" s="3" t="s">
        <v>11</v>
      </c>
      <c r="D49">
        <v>14831</v>
      </c>
      <c r="E49" s="65"/>
      <c r="F49">
        <v>14895</v>
      </c>
      <c r="I49">
        <v>15040</v>
      </c>
      <c r="L49">
        <v>14896</v>
      </c>
      <c r="O49">
        <v>14895</v>
      </c>
      <c r="R49" s="3">
        <v>14973</v>
      </c>
      <c r="U49">
        <f>SUM(U47:U48)/2.013</f>
        <v>4.811388692436382</v>
      </c>
      <c r="V49">
        <f>SUM(V47:V48)/2.1</f>
        <v>3.4884369169744218</v>
      </c>
      <c r="W49">
        <f>SUM(W47:W48)/2.2</f>
        <v>4.6686823924124292</v>
      </c>
      <c r="X49">
        <f>SUM(X47:X48)/2.06</f>
        <v>4.8175748242108911</v>
      </c>
      <c r="Y49" s="3">
        <f>SUM(Y47:Y48)/2.22</f>
        <v>3.2682624251867787</v>
      </c>
      <c r="Z49">
        <v>14895</v>
      </c>
      <c r="AA49">
        <v>14811</v>
      </c>
      <c r="AB49" s="3">
        <v>15057</v>
      </c>
    </row>
    <row r="50" spans="1:31" x14ac:dyDescent="0.3">
      <c r="B50" s="3" t="s">
        <v>12</v>
      </c>
      <c r="D50" s="3">
        <v>0</v>
      </c>
      <c r="E50" s="65"/>
      <c r="F50">
        <v>0</v>
      </c>
      <c r="I50">
        <v>4925</v>
      </c>
      <c r="L50">
        <v>228</v>
      </c>
      <c r="O50">
        <v>130</v>
      </c>
      <c r="R50" s="3">
        <v>6353</v>
      </c>
      <c r="U50">
        <f>SUM(U47:U49)/3</f>
        <v>4.8322380434369387</v>
      </c>
      <c r="V50">
        <f>SUM(V47:V49)/3.1</f>
        <v>3.4884369169744218</v>
      </c>
      <c r="W50">
        <f>SUM(W47:W49)/3.15</f>
        <v>4.7427884621332623</v>
      </c>
      <c r="X50">
        <f>SUM(X47:X49)/2.7</f>
        <v>5.4599181341056759</v>
      </c>
      <c r="Y50" s="3">
        <f>SUM(Y47:Y49)/2.9</f>
        <v>3.6288982790004924</v>
      </c>
      <c r="Z50">
        <v>0</v>
      </c>
      <c r="AA50">
        <v>270</v>
      </c>
      <c r="AB50" s="3">
        <v>3330</v>
      </c>
    </row>
    <row r="51" spans="1:31" x14ac:dyDescent="0.3">
      <c r="B51" s="3" t="s">
        <v>13</v>
      </c>
      <c r="D51" s="3">
        <v>0</v>
      </c>
      <c r="E51" s="65"/>
      <c r="F51">
        <v>0</v>
      </c>
      <c r="I51">
        <v>0</v>
      </c>
      <c r="L51">
        <v>0</v>
      </c>
      <c r="R51" s="3">
        <v>0</v>
      </c>
      <c r="U51">
        <f>SUM(U47:U50)/4.2</f>
        <v>4.6021314699399412</v>
      </c>
      <c r="V51">
        <f>SUM(V47:V50)/4.22</f>
        <v>3.3892396586718321</v>
      </c>
      <c r="W51">
        <f>SUM(W47:W50)/4.08</f>
        <v>4.8241598328071174</v>
      </c>
      <c r="X51">
        <f>SUM(X47:X50)/4.3</f>
        <v>4.6980690921374428</v>
      </c>
      <c r="Y51" s="3">
        <f>SUM(Y47:Y50)/3.99</f>
        <v>3.5470434306019851</v>
      </c>
      <c r="Z51">
        <v>0</v>
      </c>
      <c r="AA51">
        <v>0</v>
      </c>
      <c r="AB51" s="3">
        <v>0</v>
      </c>
    </row>
    <row r="52" spans="1:31" s="1" customFormat="1" x14ac:dyDescent="0.3">
      <c r="B52" s="5" t="s">
        <v>14</v>
      </c>
      <c r="C52" s="3"/>
      <c r="D52" s="3">
        <v>0</v>
      </c>
      <c r="E52" s="65"/>
      <c r="F52" s="1">
        <v>0</v>
      </c>
      <c r="H52" s="5"/>
      <c r="I52" s="1">
        <v>0</v>
      </c>
      <c r="K52" s="5"/>
      <c r="L52" s="1">
        <v>0</v>
      </c>
      <c r="N52" s="5"/>
      <c r="Q52" s="5"/>
      <c r="R52" s="5">
        <v>0</v>
      </c>
      <c r="U52" s="25">
        <v>1.6638074092586953E-3</v>
      </c>
      <c r="V52" s="25">
        <v>1.490054849172133E-3</v>
      </c>
      <c r="W52" s="25">
        <v>2.3628448108513316E-3</v>
      </c>
      <c r="X52" s="25">
        <v>2.9375484614129897E-3</v>
      </c>
      <c r="Y52" s="55">
        <v>1.594704984570701E-3</v>
      </c>
      <c r="Z52" s="1">
        <v>0</v>
      </c>
      <c r="AA52" s="1">
        <v>0</v>
      </c>
      <c r="AB52" s="5">
        <v>0</v>
      </c>
    </row>
    <row r="53" spans="1:31" s="40" customFormat="1" x14ac:dyDescent="0.3">
      <c r="B53" s="41"/>
      <c r="C53" s="41"/>
      <c r="D53" s="41"/>
      <c r="E53" s="53"/>
      <c r="G53" s="54">
        <v>6.882258193300083E-3</v>
      </c>
      <c r="H53" s="58">
        <v>8.840673015710047E-4</v>
      </c>
      <c r="J53" s="54">
        <v>8.2863197451521192E-3</v>
      </c>
      <c r="K53" s="58">
        <v>1.2517706971759549E-3</v>
      </c>
      <c r="M53" s="54">
        <v>9.3526082712049024E-3</v>
      </c>
      <c r="N53" s="58">
        <v>3.3848699388064471E-4</v>
      </c>
      <c r="P53" s="54">
        <v>1.2824641225883986E-2</v>
      </c>
      <c r="Q53" s="58">
        <v>8.7876718826680647E-4</v>
      </c>
      <c r="R53" s="41"/>
      <c r="S53" s="54">
        <v>8.923976360446239E-3</v>
      </c>
      <c r="T53" s="59">
        <v>4.1095643390616472E-4</v>
      </c>
      <c r="U53" s="52"/>
      <c r="V53" s="52"/>
      <c r="W53" s="52"/>
      <c r="X53" s="52"/>
      <c r="Y53" s="56"/>
      <c r="AB53" s="41"/>
    </row>
    <row r="54" spans="1:31" x14ac:dyDescent="0.3">
      <c r="A54">
        <v>5.3658999999999998E-2</v>
      </c>
      <c r="B54" s="3" t="s">
        <v>15</v>
      </c>
      <c r="E54" s="64">
        <v>9</v>
      </c>
      <c r="F54">
        <v>730</v>
      </c>
      <c r="I54">
        <v>612</v>
      </c>
      <c r="L54">
        <v>611</v>
      </c>
      <c r="O54">
        <v>2880</v>
      </c>
      <c r="R54" s="3">
        <v>1642</v>
      </c>
      <c r="Z54">
        <v>730</v>
      </c>
    </row>
    <row r="55" spans="1:31" x14ac:dyDescent="0.3">
      <c r="B55" s="3" t="s">
        <v>16</v>
      </c>
      <c r="C55" s="3">
        <v>6763</v>
      </c>
      <c r="D55" s="3">
        <v>6669.6457680000003</v>
      </c>
      <c r="E55" s="64"/>
      <c r="F55">
        <v>6713</v>
      </c>
      <c r="I55">
        <v>6769</v>
      </c>
      <c r="L55">
        <v>6708</v>
      </c>
      <c r="O55" s="20">
        <v>6681</v>
      </c>
      <c r="R55" s="3">
        <v>6700</v>
      </c>
      <c r="U55">
        <v>0.73931687121100098</v>
      </c>
      <c r="V55">
        <v>0.73931687121100098</v>
      </c>
      <c r="W55">
        <v>0.81324855833210119</v>
      </c>
      <c r="X55" s="20">
        <v>1.2124796687860417</v>
      </c>
      <c r="Y55" s="3">
        <v>0.93153925772586132</v>
      </c>
      <c r="Z55">
        <v>6713</v>
      </c>
      <c r="AA55">
        <v>6707.95</v>
      </c>
      <c r="AB55" s="3">
        <v>6705.7797</v>
      </c>
      <c r="AC55">
        <v>0.73931687121100098</v>
      </c>
      <c r="AD55">
        <v>0.81398787520331495</v>
      </c>
      <c r="AE55" s="20">
        <v>0.84607866331509618</v>
      </c>
    </row>
    <row r="56" spans="1:31" x14ac:dyDescent="0.3">
      <c r="B56" s="3" t="s">
        <v>10</v>
      </c>
      <c r="D56" s="3">
        <v>36380</v>
      </c>
      <c r="E56" s="64"/>
      <c r="F56">
        <v>37413</v>
      </c>
      <c r="I56">
        <v>38765</v>
      </c>
      <c r="L56">
        <v>37245</v>
      </c>
      <c r="O56">
        <v>36671</v>
      </c>
      <c r="R56" s="3">
        <v>37128</v>
      </c>
      <c r="U56">
        <v>0.65336787600000001</v>
      </c>
      <c r="V56">
        <v>0.97625563559999995</v>
      </c>
      <c r="W56">
        <v>1.1466534559999999</v>
      </c>
      <c r="X56">
        <v>1.34325432</v>
      </c>
      <c r="Y56" s="3">
        <v>0.89753466999999998</v>
      </c>
      <c r="Z56">
        <v>37413</v>
      </c>
      <c r="AA56">
        <v>37307</v>
      </c>
      <c r="AB56" s="3">
        <v>37243</v>
      </c>
    </row>
    <row r="57" spans="1:31" x14ac:dyDescent="0.3">
      <c r="B57" s="3" t="s">
        <v>11</v>
      </c>
      <c r="D57" s="3">
        <v>14722</v>
      </c>
      <c r="E57" s="64"/>
      <c r="F57">
        <v>14776</v>
      </c>
      <c r="I57">
        <v>14843</v>
      </c>
      <c r="L57">
        <v>14773</v>
      </c>
      <c r="O57">
        <v>14735</v>
      </c>
      <c r="R57" s="3">
        <v>14759</v>
      </c>
      <c r="U57">
        <f>SUM(U55:U56)/2.013</f>
        <v>0.6918453786443125</v>
      </c>
      <c r="V57">
        <f>SUM(V55:V56)/2.1</f>
        <v>0.81693928895761947</v>
      </c>
      <c r="W57">
        <f>SUM(W55:W56)/2.2</f>
        <v>0.89086455196913683</v>
      </c>
      <c r="X57">
        <f>SUM(X55:X56)/2.06</f>
        <v>1.2406475673718649</v>
      </c>
      <c r="Y57" s="3">
        <f>SUM(Y55:Y56)/2.22</f>
        <v>0.82390717465128871</v>
      </c>
      <c r="Z57">
        <v>14776</v>
      </c>
      <c r="AA57">
        <v>14768</v>
      </c>
      <c r="AB57" s="3">
        <v>14766</v>
      </c>
    </row>
    <row r="58" spans="1:31" x14ac:dyDescent="0.3">
      <c r="B58" s="3" t="s">
        <v>12</v>
      </c>
      <c r="D58" s="3">
        <v>8739</v>
      </c>
      <c r="E58" s="64"/>
      <c r="F58">
        <v>8739</v>
      </c>
      <c r="I58">
        <v>8739</v>
      </c>
      <c r="L58">
        <v>8739</v>
      </c>
      <c r="O58">
        <v>8573</v>
      </c>
      <c r="R58" s="3">
        <v>8739</v>
      </c>
      <c r="U58">
        <f>SUM(U55:U57)/3</f>
        <v>0.69484337528510454</v>
      </c>
      <c r="V58">
        <f>SUM(V55:V57)/3.1</f>
        <v>0.81693928895761947</v>
      </c>
      <c r="W58">
        <f>SUM(W55:W57)/3.15</f>
        <v>0.90500525914325014</v>
      </c>
      <c r="X58">
        <f>SUM(X55:X57)/2.7</f>
        <v>1.4060672430214467</v>
      </c>
      <c r="Y58" s="3">
        <f>SUM(Y55:Y57)/2.9</f>
        <v>0.91482106978522415</v>
      </c>
      <c r="Z58">
        <v>8739</v>
      </c>
      <c r="AA58">
        <v>8739</v>
      </c>
      <c r="AB58" s="3">
        <v>8739</v>
      </c>
    </row>
    <row r="59" spans="1:31" x14ac:dyDescent="0.3">
      <c r="B59" s="3" t="s">
        <v>13</v>
      </c>
      <c r="D59" s="3">
        <v>0</v>
      </c>
      <c r="E59" s="64"/>
      <c r="F59">
        <v>0</v>
      </c>
      <c r="I59">
        <v>0</v>
      </c>
      <c r="L59">
        <v>0</v>
      </c>
      <c r="O59">
        <v>0</v>
      </c>
      <c r="R59" s="3">
        <v>0</v>
      </c>
      <c r="U59">
        <f>SUM(U55:U58)/4.2</f>
        <v>0.66175559550962337</v>
      </c>
      <c r="V59">
        <f>SUM(V55:V58)/4.22</f>
        <v>0.7937087878498198</v>
      </c>
      <c r="W59">
        <f>SUM(W55:W58)/4.08</f>
        <v>0.92053231015796277</v>
      </c>
      <c r="X59">
        <f>SUM(X55:X58)/4.3</f>
        <v>1.2098718137626403</v>
      </c>
      <c r="Y59" s="3">
        <f>SUM(Y55:Y58)/3.99</f>
        <v>0.89418600806074533</v>
      </c>
      <c r="Z59">
        <v>0</v>
      </c>
      <c r="AA59">
        <v>0</v>
      </c>
      <c r="AB59" s="3">
        <v>0</v>
      </c>
    </row>
    <row r="60" spans="1:31" s="1" customFormat="1" x14ac:dyDescent="0.3">
      <c r="B60" s="5" t="s">
        <v>14</v>
      </c>
      <c r="C60" s="3"/>
      <c r="D60" s="5">
        <v>0</v>
      </c>
      <c r="E60" s="64"/>
      <c r="F60" s="1">
        <v>0</v>
      </c>
      <c r="H60" s="5"/>
      <c r="I60" s="1">
        <v>0</v>
      </c>
      <c r="K60" s="5"/>
      <c r="L60" s="1">
        <v>0</v>
      </c>
      <c r="N60" s="5"/>
      <c r="O60" s="1">
        <v>0</v>
      </c>
      <c r="Q60" s="5"/>
      <c r="R60" s="5">
        <v>0</v>
      </c>
      <c r="U60" s="25">
        <v>3.3848699388064471E-4</v>
      </c>
      <c r="V60" s="25">
        <v>8.840673015710047E-4</v>
      </c>
      <c r="W60" s="25">
        <v>1.2517706971759549E-3</v>
      </c>
      <c r="X60" s="25">
        <v>8.7876718826680647E-4</v>
      </c>
      <c r="Y60" s="55">
        <v>4.1095643390616472E-4</v>
      </c>
      <c r="Z60" s="1">
        <v>0</v>
      </c>
      <c r="AA60" s="1">
        <v>0</v>
      </c>
      <c r="AB60" s="5">
        <v>0</v>
      </c>
    </row>
    <row r="61" spans="1:31" s="40" customFormat="1" x14ac:dyDescent="0.3">
      <c r="B61" s="41"/>
      <c r="C61" s="41"/>
      <c r="D61" s="41"/>
      <c r="E61" s="51"/>
      <c r="G61" s="54">
        <v>0.11792206806067475</v>
      </c>
      <c r="H61" s="58">
        <v>3.9459213597842499E-3</v>
      </c>
      <c r="J61" s="54">
        <v>0.11535902571092854</v>
      </c>
      <c r="K61" s="58">
        <v>4.1999999999999997E-3</v>
      </c>
      <c r="M61" s="62">
        <v>0.117351431417496</v>
      </c>
      <c r="N61" s="56">
        <v>5.277444936695911E-3</v>
      </c>
      <c r="P61" s="62">
        <v>0.11437028919610846</v>
      </c>
      <c r="Q61" s="56">
        <v>4.0084266076378669E-3</v>
      </c>
      <c r="S61" s="54">
        <v>0.11844823884287131</v>
      </c>
      <c r="T61" s="59">
        <v>2.7822463341486614E-3</v>
      </c>
      <c r="U61" s="52"/>
      <c r="V61" s="52"/>
      <c r="W61" s="52"/>
      <c r="X61" s="52"/>
      <c r="Y61" s="56"/>
      <c r="AB61" s="41"/>
    </row>
    <row r="62" spans="1:31" x14ac:dyDescent="0.3">
      <c r="A62">
        <v>5.24699E-2</v>
      </c>
      <c r="B62" s="3" t="s">
        <v>15</v>
      </c>
      <c r="E62" s="64">
        <v>10</v>
      </c>
      <c r="F62" s="3">
        <v>1037</v>
      </c>
      <c r="I62">
        <v>845</v>
      </c>
      <c r="L62">
        <v>1514</v>
      </c>
      <c r="O62">
        <v>1182</v>
      </c>
      <c r="R62">
        <v>1013</v>
      </c>
      <c r="Z62">
        <v>1013</v>
      </c>
    </row>
    <row r="63" spans="1:31" x14ac:dyDescent="0.3">
      <c r="B63" s="3" t="s">
        <v>16</v>
      </c>
      <c r="C63" s="3">
        <v>7901</v>
      </c>
      <c r="D63" s="3">
        <v>6926.0230057200006</v>
      </c>
      <c r="E63" s="64"/>
      <c r="F63" s="21">
        <v>6946</v>
      </c>
      <c r="I63">
        <v>6961</v>
      </c>
      <c r="L63">
        <v>6957</v>
      </c>
      <c r="O63">
        <v>6967</v>
      </c>
      <c r="R63">
        <v>6951</v>
      </c>
      <c r="U63" s="21">
        <v>12.087077585115807</v>
      </c>
      <c r="V63">
        <v>11.897228198962157</v>
      </c>
      <c r="W63">
        <v>11.821288444500697</v>
      </c>
      <c r="X63">
        <v>11.947854701936464</v>
      </c>
      <c r="Y63" s="3">
        <v>12.023794456397924</v>
      </c>
      <c r="Z63">
        <v>6951</v>
      </c>
      <c r="AA63">
        <v>6947.4631499999996</v>
      </c>
      <c r="AB63" s="3">
        <v>6967.26</v>
      </c>
      <c r="AC63">
        <v>12.023794456397924</v>
      </c>
      <c r="AD63" s="20">
        <v>12.0685590431591</v>
      </c>
      <c r="AE63">
        <v>11.817997721807364</v>
      </c>
    </row>
    <row r="64" spans="1:31" x14ac:dyDescent="0.3">
      <c r="B64" s="3" t="s">
        <v>10</v>
      </c>
      <c r="D64" s="3">
        <v>22757</v>
      </c>
      <c r="E64" s="64"/>
      <c r="F64" s="3">
        <v>23249</v>
      </c>
      <c r="I64">
        <v>23574</v>
      </c>
      <c r="L64">
        <v>23517</v>
      </c>
      <c r="O64">
        <v>23731</v>
      </c>
      <c r="R64">
        <v>23203</v>
      </c>
      <c r="U64">
        <v>11.775477543599999</v>
      </c>
      <c r="V64">
        <v>11.986326745674999</v>
      </c>
      <c r="W64">
        <v>12.145775467</v>
      </c>
      <c r="X64">
        <v>12.047654343</v>
      </c>
      <c r="Y64" s="3">
        <v>12.253565399999999</v>
      </c>
      <c r="Z64">
        <v>23203</v>
      </c>
      <c r="AA64">
        <v>23283</v>
      </c>
      <c r="AB64" s="3">
        <v>23731</v>
      </c>
    </row>
    <row r="65" spans="2:28" x14ac:dyDescent="0.3">
      <c r="B65" s="3" t="s">
        <v>11</v>
      </c>
      <c r="D65" s="3">
        <v>16121</v>
      </c>
      <c r="E65" s="64"/>
      <c r="F65" s="3">
        <v>16146</v>
      </c>
      <c r="I65">
        <v>16166</v>
      </c>
      <c r="L65">
        <v>16159</v>
      </c>
      <c r="O65">
        <v>16173</v>
      </c>
      <c r="R65">
        <v>16145</v>
      </c>
      <c r="U65">
        <f>SUM(U63:U64)/2.013</f>
        <v>11.854225101200102</v>
      </c>
      <c r="V65">
        <f>SUM(V63:V64)/2.1</f>
        <v>11.373121402208168</v>
      </c>
      <c r="W65">
        <f>SUM(W63:W64)/2.2</f>
        <v>10.894119959773043</v>
      </c>
      <c r="X65">
        <f>SUM(X63:X64)/2.06</f>
        <v>11.648305361619641</v>
      </c>
      <c r="Y65" s="3">
        <f>SUM(Y63:Y64)/2.22</f>
        <v>10.935747683062127</v>
      </c>
      <c r="Z65">
        <v>16145</v>
      </c>
      <c r="AA65">
        <v>16147</v>
      </c>
      <c r="AB65" s="3">
        <v>16173</v>
      </c>
    </row>
    <row r="66" spans="2:28" x14ac:dyDescent="0.3">
      <c r="B66" s="3" t="s">
        <v>12</v>
      </c>
      <c r="D66" s="3">
        <v>11108</v>
      </c>
      <c r="E66" s="64"/>
      <c r="F66" s="3">
        <v>9433</v>
      </c>
      <c r="I66">
        <v>11677</v>
      </c>
      <c r="L66">
        <v>9830</v>
      </c>
      <c r="O66">
        <v>12644</v>
      </c>
      <c r="R66">
        <v>11583</v>
      </c>
      <c r="U66">
        <f>SUM(U63:U65)/3</f>
        <v>11.905593409971969</v>
      </c>
      <c r="V66">
        <f>SUM(V63:V65)/3.1</f>
        <v>11.373121402208168</v>
      </c>
      <c r="W66">
        <f>SUM(W63:W65)/3.15</f>
        <v>11.067042498817059</v>
      </c>
      <c r="X66">
        <f>SUM(X63:X65)/2.98</f>
        <v>11.961011545824196</v>
      </c>
      <c r="Y66" s="3">
        <f>SUM(Y63:Y65)/2.9</f>
        <v>12.142450875675879</v>
      </c>
      <c r="Z66">
        <v>11583</v>
      </c>
      <c r="AA66">
        <v>11633</v>
      </c>
      <c r="AB66" s="3">
        <v>12644</v>
      </c>
    </row>
    <row r="67" spans="2:28" x14ac:dyDescent="0.3">
      <c r="B67" s="3" t="s">
        <v>13</v>
      </c>
      <c r="D67" s="3">
        <v>0</v>
      </c>
      <c r="E67" s="64"/>
      <c r="F67" s="3">
        <v>0</v>
      </c>
      <c r="I67">
        <v>34</v>
      </c>
      <c r="L67">
        <v>0</v>
      </c>
      <c r="O67">
        <v>0</v>
      </c>
      <c r="R67">
        <v>34</v>
      </c>
      <c r="U67">
        <f>SUM(U63:U66)/4.2</f>
        <v>11.338660390449494</v>
      </c>
      <c r="V67">
        <f>SUM(V63:V66)/4.22</f>
        <v>11.049715106410781</v>
      </c>
      <c r="W67">
        <f>SUM(W63:W66)/4.08</f>
        <v>11.25691822796343</v>
      </c>
      <c r="X67">
        <f>SUM(X63:X66)/4.3</f>
        <v>11.07088975636751</v>
      </c>
      <c r="Y67" s="3">
        <f>SUM(Y63:Y66)/3.99</f>
        <v>11.86856100629973</v>
      </c>
      <c r="Z67">
        <v>34</v>
      </c>
      <c r="AA67">
        <v>0</v>
      </c>
      <c r="AB67" s="3">
        <v>0</v>
      </c>
    </row>
    <row r="68" spans="2:28" s="1" customFormat="1" x14ac:dyDescent="0.3">
      <c r="B68" s="5" t="s">
        <v>14</v>
      </c>
      <c r="C68" s="3"/>
      <c r="D68" s="5">
        <v>0</v>
      </c>
      <c r="E68" s="64"/>
      <c r="F68" s="5">
        <v>0</v>
      </c>
      <c r="H68" s="5"/>
      <c r="I68" s="1">
        <v>0</v>
      </c>
      <c r="K68" s="5"/>
      <c r="L68">
        <v>0</v>
      </c>
      <c r="M68"/>
      <c r="N68" s="3"/>
      <c r="O68">
        <v>0</v>
      </c>
      <c r="P68"/>
      <c r="Q68" s="3"/>
      <c r="R68" s="1">
        <v>32</v>
      </c>
      <c r="U68" s="25">
        <v>2.7822463341486614E-3</v>
      </c>
      <c r="V68" s="25">
        <v>3.9459213597842499E-3</v>
      </c>
      <c r="W68" s="25">
        <v>5.277444936695911E-3</v>
      </c>
      <c r="X68" s="25">
        <v>4.0084266076378669E-3</v>
      </c>
      <c r="Y68" s="55">
        <v>5.2788846098090654E-3</v>
      </c>
      <c r="Z68" s="1">
        <v>32</v>
      </c>
      <c r="AA68" s="1">
        <v>0</v>
      </c>
      <c r="AB68" s="5">
        <v>0</v>
      </c>
    </row>
    <row r="69" spans="2:28" x14ac:dyDescent="0.3">
      <c r="F69" s="3"/>
    </row>
    <row r="70" spans="2:28" x14ac:dyDescent="0.3">
      <c r="F70" s="3"/>
    </row>
    <row r="71" spans="2:28" x14ac:dyDescent="0.3">
      <c r="F71" s="3"/>
    </row>
    <row r="72" spans="2:28" x14ac:dyDescent="0.3">
      <c r="F72" s="3"/>
    </row>
    <row r="73" spans="2:28" x14ac:dyDescent="0.3">
      <c r="F73" s="3"/>
    </row>
    <row r="74" spans="2:28" x14ac:dyDescent="0.3">
      <c r="F74" s="3"/>
    </row>
    <row r="75" spans="2:28" x14ac:dyDescent="0.3">
      <c r="F75" s="5"/>
    </row>
  </sheetData>
  <mergeCells count="10">
    <mergeCell ref="Z2:AB2"/>
    <mergeCell ref="E6:E12"/>
    <mergeCell ref="E14:E20"/>
    <mergeCell ref="E22:E28"/>
    <mergeCell ref="E30:E36"/>
    <mergeCell ref="E38:E44"/>
    <mergeCell ref="E46:E52"/>
    <mergeCell ref="E54:E60"/>
    <mergeCell ref="E62:E68"/>
    <mergeCell ref="F2:R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FB845-8935-4DFF-A3F0-E41A33802F39}">
  <dimension ref="A1:AE75"/>
  <sheetViews>
    <sheetView topLeftCell="C1" workbookViewId="0">
      <selection activeCell="AB77" sqref="AB77"/>
    </sheetView>
  </sheetViews>
  <sheetFormatPr defaultRowHeight="14.4" x14ac:dyDescent="0.3"/>
  <cols>
    <col min="2" max="2" width="8.88671875" style="3"/>
    <col min="3" max="3" width="9.88671875" style="3" customWidth="1"/>
    <col min="4" max="4" width="8.88671875" style="3"/>
    <col min="5" max="5" width="10.77734375" style="3" bestFit="1" customWidth="1"/>
    <col min="6" max="6" width="10.88671875" hidden="1" customWidth="1"/>
    <col min="7" max="7" width="10.88671875" customWidth="1"/>
    <col min="8" max="8" width="10.88671875" style="3" customWidth="1"/>
    <col min="9" max="9" width="11.6640625" hidden="1" customWidth="1"/>
    <col min="10" max="10" width="11.6640625" customWidth="1"/>
    <col min="11" max="11" width="11.6640625" style="3" customWidth="1"/>
    <col min="12" max="12" width="9.109375" hidden="1" customWidth="1"/>
    <col min="13" max="13" width="11.6640625" customWidth="1"/>
    <col min="14" max="14" width="9.109375" style="3" customWidth="1"/>
    <col min="15" max="15" width="10.21875" hidden="1" customWidth="1"/>
    <col min="16" max="16" width="10.21875" customWidth="1"/>
    <col min="17" max="17" width="10.21875" style="3" customWidth="1"/>
    <col min="18" max="18" width="10.5546875" style="3" hidden="1" customWidth="1"/>
    <col min="19" max="19" width="14" customWidth="1"/>
    <col min="20" max="20" width="10.5546875" customWidth="1"/>
    <col min="24" max="24" width="9.109375" bestFit="1" customWidth="1"/>
    <col min="25" max="25" width="8.88671875" style="3"/>
    <col min="28" max="28" width="8.88671875" style="3"/>
  </cols>
  <sheetData>
    <row r="1" spans="1:31" s="8" customFormat="1" x14ac:dyDescent="0.3">
      <c r="B1" s="7"/>
      <c r="C1" s="7"/>
      <c r="D1" s="7"/>
      <c r="E1" s="7"/>
      <c r="H1" s="7"/>
      <c r="K1" s="7"/>
      <c r="N1" s="7"/>
      <c r="Q1" s="7"/>
      <c r="R1" s="7"/>
      <c r="Y1" s="7"/>
      <c r="AB1" s="7"/>
    </row>
    <row r="2" spans="1:31" s="1" customFormat="1" ht="15" thickBot="1" x14ac:dyDescent="0.35">
      <c r="B2" s="5"/>
      <c r="C2" s="5"/>
      <c r="D2" s="5"/>
      <c r="E2" s="5"/>
      <c r="F2" s="69" t="s">
        <v>3</v>
      </c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30"/>
      <c r="T2" s="30"/>
      <c r="Y2" s="5"/>
      <c r="Z2" s="67" t="s">
        <v>5</v>
      </c>
      <c r="AA2" s="67"/>
      <c r="AB2" s="67"/>
    </row>
    <row r="3" spans="1:31" s="1" customFormat="1" ht="15" thickBot="1" x14ac:dyDescent="0.35">
      <c r="B3" s="5"/>
      <c r="C3" s="5"/>
      <c r="D3" s="5"/>
      <c r="E3" s="29" t="s">
        <v>4</v>
      </c>
      <c r="F3" s="34" t="s">
        <v>5</v>
      </c>
      <c r="G3" s="34" t="s">
        <v>23</v>
      </c>
      <c r="H3" s="38" t="s">
        <v>22</v>
      </c>
      <c r="I3" s="32" t="s">
        <v>6</v>
      </c>
      <c r="J3" s="33" t="s">
        <v>23</v>
      </c>
      <c r="K3" s="39" t="s">
        <v>22</v>
      </c>
      <c r="L3" s="70" t="s">
        <v>7</v>
      </c>
      <c r="M3" s="35" t="s">
        <v>23</v>
      </c>
      <c r="N3" s="38" t="s">
        <v>22</v>
      </c>
      <c r="O3" s="71" t="s">
        <v>8</v>
      </c>
      <c r="P3" s="31" t="s">
        <v>23</v>
      </c>
      <c r="Q3" s="39" t="s">
        <v>22</v>
      </c>
      <c r="R3" s="72" t="s">
        <v>9</v>
      </c>
      <c r="S3" s="37" t="s">
        <v>23</v>
      </c>
      <c r="T3" s="36" t="s">
        <v>22</v>
      </c>
      <c r="Y3" s="5"/>
      <c r="Z3" s="9" t="s">
        <v>19</v>
      </c>
      <c r="AA3" s="18" t="s">
        <v>20</v>
      </c>
      <c r="AB3" s="10" t="s">
        <v>21</v>
      </c>
    </row>
    <row r="4" spans="1:31" s="1" customFormat="1" ht="15" thickBot="1" x14ac:dyDescent="0.35">
      <c r="B4" s="5"/>
      <c r="C4" s="5" t="s">
        <v>17</v>
      </c>
      <c r="D4" s="5" t="s">
        <v>18</v>
      </c>
      <c r="E4" s="75" t="s">
        <v>0</v>
      </c>
      <c r="F4" s="76"/>
      <c r="G4" s="77">
        <v>6.7422157171841704E-2</v>
      </c>
      <c r="H4" s="77">
        <v>2.0039258492379861E-3</v>
      </c>
      <c r="I4" s="24"/>
      <c r="J4" s="61">
        <v>6.4282305525573222E-2</v>
      </c>
      <c r="K4" s="61">
        <v>1.8447746263169792E-3</v>
      </c>
      <c r="L4" s="23"/>
      <c r="M4" s="61">
        <v>6.5516286278897579E-2</v>
      </c>
      <c r="N4" s="61">
        <v>2.3690196920535082E-3</v>
      </c>
      <c r="O4" s="24"/>
      <c r="P4" s="61">
        <v>6.8259606141573406E-2</v>
      </c>
      <c r="Q4" s="61">
        <v>2.5648825424334121E-3</v>
      </c>
      <c r="R4" s="24"/>
      <c r="S4" s="61">
        <v>6.5464498616167183E-2</v>
      </c>
      <c r="T4" s="61">
        <v>2.2551443384199459E-3</v>
      </c>
      <c r="U4" s="2" t="s">
        <v>5</v>
      </c>
      <c r="V4" s="2" t="s">
        <v>6</v>
      </c>
      <c r="W4" s="2" t="s">
        <v>7</v>
      </c>
      <c r="X4" s="2" t="s">
        <v>8</v>
      </c>
      <c r="Y4" s="6" t="s">
        <v>9</v>
      </c>
      <c r="Z4" s="26">
        <v>6.8953989145182096E-2</v>
      </c>
      <c r="AA4" s="27">
        <v>7.0441963878319705E-2</v>
      </c>
      <c r="AB4" s="26">
        <v>6.7466856445908496E-2</v>
      </c>
      <c r="AC4" s="9" t="s">
        <v>19</v>
      </c>
      <c r="AD4" s="9" t="s">
        <v>20</v>
      </c>
      <c r="AE4" s="10" t="s">
        <v>21</v>
      </c>
    </row>
    <row r="5" spans="1:31" s="40" customFormat="1" ht="15" thickBot="1" x14ac:dyDescent="0.35">
      <c r="B5" s="41"/>
      <c r="C5" s="41"/>
      <c r="D5" s="73"/>
      <c r="E5" s="78"/>
      <c r="F5" s="79"/>
      <c r="G5" s="80">
        <v>6.9261468130606102E-2</v>
      </c>
      <c r="H5" s="81">
        <v>3.1609780711316072E-3</v>
      </c>
      <c r="I5" s="44"/>
      <c r="J5" s="54">
        <v>6.5575501135753361E-2</v>
      </c>
      <c r="K5" s="45">
        <v>2.1523776200684098E-3</v>
      </c>
      <c r="L5" s="44"/>
      <c r="M5" s="54">
        <v>6.0533150992972171E-2</v>
      </c>
      <c r="N5" s="45">
        <v>4.5320491565808722E-3</v>
      </c>
      <c r="O5" s="44"/>
      <c r="P5" s="54">
        <v>6.517171991826598E-2</v>
      </c>
      <c r="Q5" s="45">
        <v>2.8387050236733657E-3</v>
      </c>
      <c r="R5" s="46"/>
      <c r="S5" s="54">
        <v>6.59E-2</v>
      </c>
      <c r="T5" s="47">
        <v>3.8550942051523165E-3</v>
      </c>
      <c r="U5" s="48"/>
      <c r="V5" s="48"/>
      <c r="W5" s="48"/>
      <c r="X5" s="48"/>
      <c r="Y5" s="49"/>
      <c r="Z5" s="46"/>
      <c r="AA5" s="43"/>
      <c r="AB5" s="46"/>
      <c r="AC5" s="50"/>
      <c r="AD5" s="50"/>
      <c r="AE5" s="50"/>
    </row>
    <row r="6" spans="1:31" ht="15" hidden="1" thickBot="1" x14ac:dyDescent="0.35">
      <c r="A6">
        <v>0.229742</v>
      </c>
      <c r="B6" s="3" t="s">
        <v>15</v>
      </c>
      <c r="D6" s="74"/>
      <c r="E6" s="82" t="s">
        <v>1</v>
      </c>
      <c r="F6" s="74">
        <v>330</v>
      </c>
      <c r="G6" s="74"/>
      <c r="H6" s="83"/>
      <c r="I6">
        <v>18</v>
      </c>
      <c r="L6">
        <v>9</v>
      </c>
      <c r="O6">
        <v>434</v>
      </c>
      <c r="R6">
        <v>1117</v>
      </c>
      <c r="Z6">
        <v>330</v>
      </c>
    </row>
    <row r="7" spans="1:31" hidden="1" x14ac:dyDescent="0.3">
      <c r="B7" s="3" t="s">
        <v>16</v>
      </c>
      <c r="C7" s="3">
        <v>6500</v>
      </c>
      <c r="D7" s="74">
        <v>6108.9387239999996</v>
      </c>
      <c r="E7" s="84"/>
      <c r="F7" s="85">
        <v>6031.4629520000008</v>
      </c>
      <c r="G7" s="74"/>
      <c r="H7" s="83"/>
      <c r="I7">
        <v>6095</v>
      </c>
      <c r="L7">
        <v>6095</v>
      </c>
      <c r="O7">
        <v>6084</v>
      </c>
      <c r="R7" s="20">
        <v>6031</v>
      </c>
      <c r="U7" s="20">
        <v>7.2082622769230698</v>
      </c>
      <c r="V7">
        <v>6.2307692307692308</v>
      </c>
      <c r="W7">
        <v>6.2307692307692308</v>
      </c>
      <c r="X7">
        <v>6.4</v>
      </c>
      <c r="Y7" s="21">
        <v>7.2153846153846155</v>
      </c>
      <c r="Z7">
        <v>6031.4629520000008</v>
      </c>
      <c r="AA7">
        <v>6031.4629520000008</v>
      </c>
      <c r="AB7" s="3">
        <v>6084.0919264562799</v>
      </c>
      <c r="AC7" s="20">
        <v>7.2082622769230653</v>
      </c>
      <c r="AD7" s="20">
        <v>7.2082622769230653</v>
      </c>
      <c r="AE7">
        <v>6.3985857468264626</v>
      </c>
    </row>
    <row r="8" spans="1:31" hidden="1" x14ac:dyDescent="0.3">
      <c r="B8" s="3" t="s">
        <v>10</v>
      </c>
      <c r="D8" s="74">
        <v>20555</v>
      </c>
      <c r="E8" s="84"/>
      <c r="F8" s="74">
        <v>20587</v>
      </c>
      <c r="G8" s="74"/>
      <c r="H8" s="83"/>
      <c r="I8">
        <v>20547</v>
      </c>
      <c r="L8">
        <v>20547</v>
      </c>
      <c r="O8">
        <v>20611</v>
      </c>
      <c r="R8">
        <v>20587</v>
      </c>
      <c r="U8">
        <v>6.1356700000000002</v>
      </c>
      <c r="V8">
        <v>7.3457678</v>
      </c>
      <c r="W8">
        <v>6.4543600000000003</v>
      </c>
      <c r="X8" s="28">
        <v>6.5876210000000004</v>
      </c>
      <c r="Y8" s="3">
        <v>6.9805679999999999</v>
      </c>
      <c r="Z8">
        <v>20587</v>
      </c>
      <c r="AA8">
        <v>20587</v>
      </c>
      <c r="AB8" s="3">
        <v>20611</v>
      </c>
    </row>
    <row r="9" spans="1:31" hidden="1" x14ac:dyDescent="0.3">
      <c r="B9" s="3" t="s">
        <v>11</v>
      </c>
      <c r="D9" s="74">
        <v>10550</v>
      </c>
      <c r="E9" s="84"/>
      <c r="F9" s="74">
        <v>10349</v>
      </c>
      <c r="G9" s="74"/>
      <c r="H9" s="83"/>
      <c r="I9">
        <v>10519</v>
      </c>
      <c r="L9">
        <v>10519</v>
      </c>
      <c r="O9">
        <v>10475</v>
      </c>
      <c r="R9">
        <v>10349</v>
      </c>
      <c r="U9">
        <v>6.6288784286751472</v>
      </c>
      <c r="V9">
        <v>6.4650176336996337</v>
      </c>
      <c r="W9">
        <v>5.7659678321678323</v>
      </c>
      <c r="X9">
        <v>6.304670388349515</v>
      </c>
      <c r="Y9" s="3">
        <v>6.3945732501732504</v>
      </c>
      <c r="Z9">
        <v>10349</v>
      </c>
      <c r="AA9">
        <v>10349</v>
      </c>
      <c r="AB9" s="3">
        <v>10475</v>
      </c>
    </row>
    <row r="10" spans="1:31" hidden="1" x14ac:dyDescent="0.3">
      <c r="B10" s="3" t="s">
        <v>12</v>
      </c>
      <c r="D10" s="74">
        <v>0</v>
      </c>
      <c r="E10" s="84"/>
      <c r="F10" s="74">
        <v>0</v>
      </c>
      <c r="G10" s="74"/>
      <c r="H10" s="83"/>
      <c r="I10">
        <v>0</v>
      </c>
      <c r="L10">
        <v>0</v>
      </c>
      <c r="O10">
        <v>0</v>
      </c>
      <c r="R10">
        <v>0</v>
      </c>
      <c r="U10">
        <v>6.657603568532739</v>
      </c>
      <c r="V10">
        <v>6.4650176336996337</v>
      </c>
      <c r="W10">
        <v>5.8574911310911313</v>
      </c>
      <c r="X10">
        <v>7.1452931067961165</v>
      </c>
      <c r="Y10" s="3">
        <v>7.1001813329509877</v>
      </c>
      <c r="Z10">
        <v>0</v>
      </c>
      <c r="AA10">
        <v>0</v>
      </c>
      <c r="AB10" s="3">
        <v>0</v>
      </c>
    </row>
    <row r="11" spans="1:31" hidden="1" x14ac:dyDescent="0.3">
      <c r="B11" s="3" t="s">
        <v>13</v>
      </c>
      <c r="D11" s="74">
        <v>0</v>
      </c>
      <c r="E11" s="84"/>
      <c r="F11" s="74">
        <v>0</v>
      </c>
      <c r="G11" s="74"/>
      <c r="H11" s="83"/>
      <c r="I11">
        <v>0</v>
      </c>
      <c r="L11">
        <v>0</v>
      </c>
      <c r="O11">
        <v>0</v>
      </c>
      <c r="R11">
        <v>0</v>
      </c>
      <c r="U11">
        <v>6.340574827174037</v>
      </c>
      <c r="V11">
        <v>6.2811782697081755</v>
      </c>
      <c r="W11">
        <v>5.95798730245789</v>
      </c>
      <c r="X11">
        <v>6.1482754639873569</v>
      </c>
      <c r="Y11" s="3">
        <v>6.9400268667941987</v>
      </c>
      <c r="Z11">
        <v>0</v>
      </c>
      <c r="AA11">
        <v>0</v>
      </c>
      <c r="AB11" s="3">
        <v>0</v>
      </c>
    </row>
    <row r="12" spans="1:31" s="1" customFormat="1" ht="15" hidden="1" thickBot="1" x14ac:dyDescent="0.35">
      <c r="B12" s="5" t="s">
        <v>14</v>
      </c>
      <c r="C12" s="3"/>
      <c r="D12" s="74">
        <v>0</v>
      </c>
      <c r="E12" s="86"/>
      <c r="F12" s="87">
        <v>0</v>
      </c>
      <c r="G12" s="87"/>
      <c r="H12" s="88"/>
      <c r="I12" s="1">
        <v>0</v>
      </c>
      <c r="K12" s="5"/>
      <c r="L12" s="1">
        <v>0</v>
      </c>
      <c r="N12" s="5"/>
      <c r="O12" s="1">
        <v>0</v>
      </c>
      <c r="Q12" s="5"/>
      <c r="R12" s="1">
        <v>0</v>
      </c>
      <c r="U12" s="25">
        <v>4.0523776200684057E-3</v>
      </c>
      <c r="V12" s="25">
        <v>4.5320491565808722E-3</v>
      </c>
      <c r="W12" s="25">
        <v>2.8387050236733657E-3</v>
      </c>
      <c r="X12" s="25">
        <v>3.8550942051523165E-3</v>
      </c>
      <c r="Y12" s="55">
        <v>3.1609780711316072E-3</v>
      </c>
      <c r="Z12" s="1">
        <v>0</v>
      </c>
      <c r="AA12" s="1">
        <v>0</v>
      </c>
      <c r="AB12" s="5">
        <v>0</v>
      </c>
    </row>
    <row r="13" spans="1:31" s="40" customFormat="1" x14ac:dyDescent="0.3">
      <c r="B13" s="41"/>
      <c r="C13" s="41"/>
      <c r="D13" s="73"/>
      <c r="E13" s="89"/>
      <c r="F13" s="90"/>
      <c r="G13" s="91">
        <v>0.12709685639683022</v>
      </c>
      <c r="H13" s="92">
        <v>4.1999999999999997E-3</v>
      </c>
      <c r="J13" s="54">
        <v>0.12262747512804267</v>
      </c>
      <c r="K13" s="58">
        <v>2.1523776200684098E-3</v>
      </c>
      <c r="M13" s="54">
        <v>0.11962787143639464</v>
      </c>
      <c r="N13" s="58">
        <v>5.4182815078228997E-3</v>
      </c>
      <c r="P13" s="63">
        <v>0.13324356770127566</v>
      </c>
      <c r="Q13" s="58">
        <v>7.7963460000550011E-3</v>
      </c>
      <c r="S13" s="54">
        <v>0.12432718736311482</v>
      </c>
      <c r="T13" s="59">
        <v>5.6020095937786389E-3</v>
      </c>
      <c r="U13" s="52"/>
      <c r="V13" s="52"/>
      <c r="W13" s="52"/>
      <c r="X13" s="52"/>
      <c r="Y13" s="56"/>
      <c r="AB13" s="41"/>
    </row>
    <row r="14" spans="1:31" hidden="1" x14ac:dyDescent="0.3">
      <c r="A14">
        <v>0.13544900000000001</v>
      </c>
      <c r="B14" s="3" t="s">
        <v>15</v>
      </c>
      <c r="D14" s="74"/>
      <c r="E14" s="93">
        <v>2</v>
      </c>
      <c r="F14" s="74">
        <v>695</v>
      </c>
      <c r="G14" s="74"/>
      <c r="H14" s="83"/>
      <c r="I14">
        <v>799</v>
      </c>
      <c r="L14">
        <v>578</v>
      </c>
      <c r="O14">
        <v>313</v>
      </c>
      <c r="R14" s="3">
        <v>500</v>
      </c>
      <c r="Z14">
        <v>695</v>
      </c>
    </row>
    <row r="15" spans="1:31" hidden="1" x14ac:dyDescent="0.3">
      <c r="B15" s="3" t="s">
        <v>16</v>
      </c>
      <c r="C15" s="3">
        <v>14316</v>
      </c>
      <c r="D15" s="74">
        <v>12053.229712800001</v>
      </c>
      <c r="E15" s="93"/>
      <c r="F15" s="74">
        <v>12465</v>
      </c>
      <c r="G15" s="74"/>
      <c r="H15" s="83"/>
      <c r="I15">
        <v>12493</v>
      </c>
      <c r="L15">
        <v>12510</v>
      </c>
      <c r="O15" s="20">
        <v>12401</v>
      </c>
      <c r="R15" s="3">
        <v>12516</v>
      </c>
      <c r="U15">
        <v>12.929589270746019</v>
      </c>
      <c r="V15">
        <v>12.73400391170718</v>
      </c>
      <c r="W15">
        <v>12.615255658005028</v>
      </c>
      <c r="X15" s="20">
        <v>13.376641519977648</v>
      </c>
      <c r="Y15" s="3">
        <v>12.573344509639565</v>
      </c>
      <c r="Z15">
        <v>12465</v>
      </c>
      <c r="AA15">
        <v>12353.277513007601</v>
      </c>
      <c r="AB15" s="3">
        <v>12305.6997247493</v>
      </c>
      <c r="AC15">
        <v>12.929589270746019</v>
      </c>
      <c r="AD15">
        <v>13.709992225428886</v>
      </c>
      <c r="AE15" s="20">
        <v>14.042332182527941</v>
      </c>
    </row>
    <row r="16" spans="1:31" hidden="1" x14ac:dyDescent="0.3">
      <c r="B16" s="3" t="s">
        <v>10</v>
      </c>
      <c r="D16" s="74">
        <v>73818</v>
      </c>
      <c r="E16" s="93"/>
      <c r="F16" s="74">
        <v>77983</v>
      </c>
      <c r="G16" s="74"/>
      <c r="H16" s="83"/>
      <c r="I16">
        <v>77769</v>
      </c>
      <c r="L16">
        <v>79194</v>
      </c>
      <c r="O16">
        <v>77268</v>
      </c>
      <c r="R16" s="3">
        <v>77347</v>
      </c>
      <c r="U16">
        <v>12.789564</v>
      </c>
      <c r="V16">
        <v>12.654387</v>
      </c>
      <c r="W16">
        <v>12.453569999999999</v>
      </c>
      <c r="X16">
        <v>13.176546889999999</v>
      </c>
      <c r="Y16" s="3">
        <v>12.908975</v>
      </c>
      <c r="Z16">
        <v>77983</v>
      </c>
      <c r="AA16">
        <v>77388</v>
      </c>
      <c r="AB16" s="3">
        <v>77178</v>
      </c>
    </row>
    <row r="17" spans="1:31" hidden="1" x14ac:dyDescent="0.3">
      <c r="B17" s="3" t="s">
        <v>11</v>
      </c>
      <c r="D17" s="74">
        <v>20017</v>
      </c>
      <c r="E17" s="93"/>
      <c r="F17" s="74">
        <v>20512</v>
      </c>
      <c r="G17" s="74"/>
      <c r="H17" s="83"/>
      <c r="I17">
        <v>20374</v>
      </c>
      <c r="L17">
        <v>20549</v>
      </c>
      <c r="O17">
        <v>20344</v>
      </c>
      <c r="R17" s="3">
        <v>20339</v>
      </c>
      <c r="U17">
        <v>12.776529195601601</v>
      </c>
      <c r="V17">
        <v>12.089709957955799</v>
      </c>
      <c r="W17">
        <v>11.394920753638647</v>
      </c>
      <c r="X17">
        <v>12.889897286396916</v>
      </c>
      <c r="Y17" s="3">
        <v>11.478522301639444</v>
      </c>
      <c r="Z17">
        <v>20512</v>
      </c>
      <c r="AA17">
        <v>20401</v>
      </c>
      <c r="AB17" s="3">
        <v>20267</v>
      </c>
    </row>
    <row r="18" spans="1:31" hidden="1" x14ac:dyDescent="0.3">
      <c r="B18" s="3" t="s">
        <v>12</v>
      </c>
      <c r="D18" s="74">
        <v>120</v>
      </c>
      <c r="E18" s="93"/>
      <c r="F18" s="74">
        <v>246</v>
      </c>
      <c r="G18" s="74"/>
      <c r="H18" s="83"/>
      <c r="I18">
        <v>42</v>
      </c>
      <c r="L18">
        <v>517</v>
      </c>
      <c r="O18">
        <v>460</v>
      </c>
      <c r="R18" s="3">
        <v>0</v>
      </c>
      <c r="U18">
        <v>12.831894155449206</v>
      </c>
      <c r="V18">
        <v>12.089709957955799</v>
      </c>
      <c r="W18">
        <v>11.575792511632912</v>
      </c>
      <c r="X18">
        <v>14.608550257916505</v>
      </c>
      <c r="Y18" s="3">
        <v>12.74511786595828</v>
      </c>
      <c r="Z18">
        <v>246</v>
      </c>
      <c r="AA18">
        <v>1076</v>
      </c>
      <c r="AB18" s="3">
        <v>1004</v>
      </c>
    </row>
    <row r="19" spans="1:31" hidden="1" x14ac:dyDescent="0.3">
      <c r="B19" s="3" t="s">
        <v>13</v>
      </c>
      <c r="D19" s="74">
        <v>456</v>
      </c>
      <c r="E19" s="93"/>
      <c r="F19" s="74">
        <v>280</v>
      </c>
      <c r="G19" s="74"/>
      <c r="H19" s="83"/>
      <c r="I19">
        <v>0</v>
      </c>
      <c r="L19">
        <v>174</v>
      </c>
      <c r="O19">
        <v>252</v>
      </c>
      <c r="R19" s="3">
        <v>213</v>
      </c>
      <c r="U19">
        <v>12.220851576618291</v>
      </c>
      <c r="V19">
        <v>11.745926736402556</v>
      </c>
      <c r="W19">
        <v>11.77439679492073</v>
      </c>
      <c r="X19">
        <v>12.570147896346761</v>
      </c>
      <c r="Y19" s="3">
        <v>12.457634004320122</v>
      </c>
      <c r="Z19">
        <v>280</v>
      </c>
      <c r="AA19">
        <v>135</v>
      </c>
      <c r="AB19" s="3">
        <v>98</v>
      </c>
    </row>
    <row r="20" spans="1:31" s="1" customFormat="1" ht="15" hidden="1" thickBot="1" x14ac:dyDescent="0.35">
      <c r="B20" s="5" t="s">
        <v>14</v>
      </c>
      <c r="C20" s="3"/>
      <c r="D20" s="74">
        <v>235</v>
      </c>
      <c r="E20" s="94"/>
      <c r="F20" s="87">
        <v>178</v>
      </c>
      <c r="G20" s="87"/>
      <c r="H20" s="88"/>
      <c r="I20" s="1">
        <v>651</v>
      </c>
      <c r="K20" s="5"/>
      <c r="L20" s="1">
        <v>0</v>
      </c>
      <c r="N20" s="5"/>
      <c r="O20" s="1">
        <v>386</v>
      </c>
      <c r="Q20" s="5"/>
      <c r="R20" s="5">
        <v>949</v>
      </c>
      <c r="U20" s="25">
        <v>2.7977664435563927E-3</v>
      </c>
      <c r="V20" s="25">
        <v>4.1906198441704874E-3</v>
      </c>
      <c r="W20" s="25">
        <v>5.4182815078228997E-3</v>
      </c>
      <c r="X20" s="25">
        <v>7.7963460000550011E-3</v>
      </c>
      <c r="Y20" s="55">
        <v>5.6020095937786389E-3</v>
      </c>
      <c r="Z20" s="1">
        <v>178</v>
      </c>
      <c r="AA20" s="1">
        <v>0</v>
      </c>
      <c r="AB20" s="5">
        <v>87</v>
      </c>
    </row>
    <row r="21" spans="1:31" s="40" customFormat="1" x14ac:dyDescent="0.3">
      <c r="B21" s="41"/>
      <c r="C21" s="41"/>
      <c r="D21" s="41"/>
      <c r="E21" s="53"/>
      <c r="G21" s="54">
        <v>0.11474149490355211</v>
      </c>
      <c r="H21" s="56">
        <v>2.9999999999999997E-4</v>
      </c>
      <c r="J21" s="54">
        <v>0.11468509350857722</v>
      </c>
      <c r="K21" s="56">
        <v>1E-4</v>
      </c>
      <c r="M21" s="54">
        <v>0.11458952496287815</v>
      </c>
      <c r="N21" s="57">
        <v>0</v>
      </c>
      <c r="P21" s="54">
        <v>0.11387278985626453</v>
      </c>
      <c r="Q21" s="57">
        <v>0</v>
      </c>
      <c r="R21" s="41"/>
      <c r="S21" s="54">
        <v>0.11510423704545372</v>
      </c>
      <c r="T21" s="60">
        <v>0</v>
      </c>
      <c r="U21" s="52"/>
      <c r="V21" s="52"/>
      <c r="W21" s="52"/>
      <c r="X21" s="52"/>
      <c r="Y21" s="56"/>
      <c r="AB21" s="41"/>
    </row>
    <row r="22" spans="1:31" hidden="1" x14ac:dyDescent="0.3">
      <c r="A22">
        <v>0.1231511</v>
      </c>
      <c r="B22" s="3" t="s">
        <v>15</v>
      </c>
      <c r="E22" s="65">
        <v>3</v>
      </c>
      <c r="F22">
        <v>6</v>
      </c>
      <c r="I22">
        <v>5</v>
      </c>
      <c r="L22">
        <v>6</v>
      </c>
      <c r="O22">
        <v>9</v>
      </c>
      <c r="R22" s="3">
        <v>2</v>
      </c>
      <c r="Z22">
        <v>6</v>
      </c>
    </row>
    <row r="23" spans="1:31" ht="23.4" hidden="1" customHeight="1" x14ac:dyDescent="0.3">
      <c r="B23" s="3" t="s">
        <v>16</v>
      </c>
      <c r="C23" s="3">
        <v>7623</v>
      </c>
      <c r="D23" s="3">
        <v>6746.5333792000001</v>
      </c>
      <c r="E23" s="65"/>
      <c r="F23" s="20">
        <v>6746</v>
      </c>
      <c r="I23" s="20">
        <v>6746</v>
      </c>
      <c r="L23" s="20">
        <v>6746</v>
      </c>
      <c r="O23" s="20">
        <v>6746</v>
      </c>
      <c r="R23" s="20">
        <v>6746</v>
      </c>
      <c r="U23" s="20">
        <v>11.504656959202414</v>
      </c>
      <c r="V23" s="20">
        <v>11.504656959202414</v>
      </c>
      <c r="W23" s="20">
        <v>11.504656959202414</v>
      </c>
      <c r="X23" s="20">
        <v>11.504656959202414</v>
      </c>
      <c r="Y23" s="21">
        <v>11.504656959202414</v>
      </c>
      <c r="Z23">
        <v>6746</v>
      </c>
      <c r="AA23">
        <v>6746.5347293843597</v>
      </c>
      <c r="AB23" s="3">
        <v>6746.5347293843597</v>
      </c>
      <c r="AC23" s="20">
        <v>11.504656959202414</v>
      </c>
      <c r="AD23" s="20">
        <v>11.497642274900175</v>
      </c>
      <c r="AE23" s="20">
        <v>11.497642274900175</v>
      </c>
    </row>
    <row r="24" spans="1:31" hidden="1" x14ac:dyDescent="0.3">
      <c r="B24" s="3" t="s">
        <v>10</v>
      </c>
      <c r="D24" s="3">
        <v>37680</v>
      </c>
      <c r="E24" s="65"/>
      <c r="F24">
        <v>37680</v>
      </c>
      <c r="I24">
        <v>37680</v>
      </c>
      <c r="L24">
        <v>37680</v>
      </c>
      <c r="O24">
        <v>37680</v>
      </c>
      <c r="R24">
        <v>37680</v>
      </c>
      <c r="U24" s="20">
        <v>11.504656959202414</v>
      </c>
      <c r="V24" s="20">
        <v>11.504656959202414</v>
      </c>
      <c r="W24" s="20">
        <v>11.504656959202414</v>
      </c>
      <c r="X24" s="20">
        <v>11.504656959202414</v>
      </c>
      <c r="Y24" s="21">
        <v>11.504656959202414</v>
      </c>
      <c r="Z24">
        <v>37680</v>
      </c>
      <c r="AA24">
        <v>37680</v>
      </c>
      <c r="AB24" s="3">
        <v>37680</v>
      </c>
    </row>
    <row r="25" spans="1:31" hidden="1" x14ac:dyDescent="0.3">
      <c r="B25" s="3" t="s">
        <v>11</v>
      </c>
      <c r="D25" s="3">
        <v>12226</v>
      </c>
      <c r="E25" s="65"/>
      <c r="F25">
        <v>12226</v>
      </c>
      <c r="I25">
        <v>12226</v>
      </c>
      <c r="L25">
        <v>12226</v>
      </c>
      <c r="O25">
        <v>12226</v>
      </c>
      <c r="R25">
        <v>12226</v>
      </c>
      <c r="U25">
        <v>11.447419859902901</v>
      </c>
      <c r="V25">
        <v>11.504656959202414</v>
      </c>
      <c r="W25">
        <v>11.447419859902901</v>
      </c>
      <c r="X25">
        <v>11.169569863303314</v>
      </c>
      <c r="Y25" s="3">
        <v>11.504656959202414</v>
      </c>
      <c r="Z25">
        <v>12226</v>
      </c>
      <c r="AA25">
        <v>12226</v>
      </c>
      <c r="AB25" s="3">
        <v>12226</v>
      </c>
    </row>
    <row r="26" spans="1:31" hidden="1" x14ac:dyDescent="0.3">
      <c r="B26" s="3" t="s">
        <v>12</v>
      </c>
      <c r="D26" s="3">
        <v>9541</v>
      </c>
      <c r="E26" s="65"/>
      <c r="F26">
        <v>9637</v>
      </c>
      <c r="I26">
        <v>9637</v>
      </c>
      <c r="L26">
        <v>9637</v>
      </c>
      <c r="O26">
        <v>9541</v>
      </c>
      <c r="R26">
        <v>9541</v>
      </c>
      <c r="U26">
        <v>11.485577926102577</v>
      </c>
      <c r="V26">
        <v>11.428467178015643</v>
      </c>
      <c r="W26">
        <v>11.447419859902901</v>
      </c>
      <c r="X26">
        <v>11.392961260569381</v>
      </c>
      <c r="Y26" s="3">
        <v>11.504656959202414</v>
      </c>
      <c r="Z26">
        <v>9637</v>
      </c>
      <c r="AA26">
        <v>9637</v>
      </c>
      <c r="AB26" s="3">
        <v>8745</v>
      </c>
    </row>
    <row r="27" spans="1:31" hidden="1" x14ac:dyDescent="0.3">
      <c r="B27" s="3" t="s">
        <v>13</v>
      </c>
      <c r="D27" s="3">
        <v>0</v>
      </c>
      <c r="E27" s="65"/>
      <c r="F27">
        <v>0</v>
      </c>
      <c r="I27">
        <v>0</v>
      </c>
      <c r="L27">
        <v>0</v>
      </c>
      <c r="O27">
        <v>0</v>
      </c>
      <c r="R27">
        <v>0</v>
      </c>
      <c r="U27">
        <v>11.42843574736575</v>
      </c>
      <c r="V27">
        <v>11.400108698665727</v>
      </c>
      <c r="W27">
        <v>11.390608843228444</v>
      </c>
      <c r="X27">
        <v>11.364549885854744</v>
      </c>
      <c r="Y27" s="3">
        <v>11.533490685917206</v>
      </c>
      <c r="Z27">
        <v>0</v>
      </c>
      <c r="AA27">
        <v>0</v>
      </c>
      <c r="AB27" s="3">
        <v>0</v>
      </c>
    </row>
    <row r="28" spans="1:31" s="1" customFormat="1" hidden="1" x14ac:dyDescent="0.3">
      <c r="B28" s="5" t="s">
        <v>14</v>
      </c>
      <c r="C28" s="3"/>
      <c r="D28" s="3">
        <v>0</v>
      </c>
      <c r="E28" s="65"/>
      <c r="F28" s="1">
        <v>0</v>
      </c>
      <c r="H28" s="5"/>
      <c r="I28" s="1">
        <v>0</v>
      </c>
      <c r="K28" s="5"/>
      <c r="L28" s="1">
        <v>0</v>
      </c>
      <c r="N28" s="5"/>
      <c r="O28" s="1">
        <v>0</v>
      </c>
      <c r="Q28" s="5"/>
      <c r="R28" s="1">
        <v>0</v>
      </c>
      <c r="U28" s="25">
        <v>3.4627445389392238E-4</v>
      </c>
      <c r="V28" s="25">
        <v>5.0502409826979917E-4</v>
      </c>
      <c r="W28" s="25">
        <v>4.7735349003900994E-4</v>
      </c>
      <c r="X28" s="25">
        <v>1.3738753539647328E-3</v>
      </c>
      <c r="Y28" s="55">
        <v>1.2894834595785325E-4</v>
      </c>
      <c r="Z28" s="1">
        <v>0</v>
      </c>
      <c r="AA28" s="1">
        <v>0</v>
      </c>
      <c r="AB28" s="5">
        <v>0</v>
      </c>
    </row>
    <row r="29" spans="1:31" s="40" customFormat="1" x14ac:dyDescent="0.3">
      <c r="B29" s="41"/>
      <c r="C29" s="41"/>
      <c r="D29" s="41"/>
      <c r="E29" s="53"/>
      <c r="G29" s="54">
        <v>3.0420182202427943E-2</v>
      </c>
      <c r="H29" s="58">
        <v>1.0479637510093938E-3</v>
      </c>
      <c r="J29" s="54">
        <v>3.0682083817323059E-2</v>
      </c>
      <c r="K29" s="58">
        <v>1.367621165253282E-3</v>
      </c>
      <c r="M29" s="54">
        <v>3.0358041067336146E-2</v>
      </c>
      <c r="N29" s="58">
        <v>8.0304377937365126E-4</v>
      </c>
      <c r="P29" s="54">
        <v>3.2219966940906432E-2</v>
      </c>
      <c r="Q29" s="58">
        <v>1.8783954486622074E-3</v>
      </c>
      <c r="S29" s="54">
        <v>3.1498888249525715E-2</v>
      </c>
      <c r="T29" s="59">
        <v>1.3870894391128253E-3</v>
      </c>
      <c r="U29" s="52"/>
      <c r="V29" s="52"/>
      <c r="W29" s="52"/>
      <c r="X29" s="52"/>
      <c r="Y29" s="56"/>
      <c r="AB29" s="41"/>
    </row>
    <row r="30" spans="1:31" hidden="1" x14ac:dyDescent="0.3">
      <c r="A30">
        <v>0.11086</v>
      </c>
      <c r="B30" s="3" t="s">
        <v>15</v>
      </c>
      <c r="E30" s="65">
        <v>5.16</v>
      </c>
      <c r="F30">
        <v>62</v>
      </c>
      <c r="I30">
        <v>63</v>
      </c>
      <c r="L30">
        <v>87</v>
      </c>
      <c r="O30">
        <v>54</v>
      </c>
      <c r="R30" s="3">
        <v>65</v>
      </c>
      <c r="Z30">
        <v>62</v>
      </c>
    </row>
    <row r="31" spans="1:31" hidden="1" x14ac:dyDescent="0.3">
      <c r="B31" s="3" t="s">
        <v>16</v>
      </c>
      <c r="C31" s="3">
        <v>11586</v>
      </c>
      <c r="D31" s="3">
        <v>10969.336879999999</v>
      </c>
      <c r="E31" s="65"/>
      <c r="F31">
        <v>11229</v>
      </c>
      <c r="I31">
        <v>11217</v>
      </c>
      <c r="L31">
        <v>11217</v>
      </c>
      <c r="O31">
        <v>11215</v>
      </c>
      <c r="R31" s="21">
        <v>11212</v>
      </c>
      <c r="U31">
        <v>3.0813050233039876</v>
      </c>
      <c r="V31">
        <v>3.1848783013982391</v>
      </c>
      <c r="W31">
        <v>3.1848783013982391</v>
      </c>
      <c r="X31">
        <v>3.2021405144139479</v>
      </c>
      <c r="Y31" s="21">
        <v>3.228033833937511</v>
      </c>
      <c r="Z31">
        <v>11229</v>
      </c>
      <c r="AA31">
        <v>11220.1549834781</v>
      </c>
      <c r="AB31" s="3">
        <v>11192.774082144801</v>
      </c>
      <c r="AC31">
        <v>3.0813050233039876</v>
      </c>
      <c r="AD31">
        <v>3.1576473029682384</v>
      </c>
      <c r="AE31" s="20">
        <v>3.3939747786569949</v>
      </c>
    </row>
    <row r="32" spans="1:31" hidden="1" x14ac:dyDescent="0.3">
      <c r="B32" s="3" t="s">
        <v>10</v>
      </c>
      <c r="D32" s="3">
        <v>43770</v>
      </c>
      <c r="E32" s="65"/>
      <c r="F32">
        <v>46378</v>
      </c>
      <c r="I32">
        <v>46038</v>
      </c>
      <c r="L32">
        <v>46038</v>
      </c>
      <c r="O32">
        <v>46284</v>
      </c>
      <c r="R32" s="3">
        <v>45661</v>
      </c>
      <c r="U32">
        <v>3.1245302330398999</v>
      </c>
      <c r="V32">
        <v>3.1674398648739999</v>
      </c>
      <c r="W32">
        <v>3.1768535400000002</v>
      </c>
      <c r="X32">
        <v>3.21875369838</v>
      </c>
      <c r="Y32" s="21">
        <v>3.228033833937511</v>
      </c>
      <c r="Z32">
        <v>46378</v>
      </c>
      <c r="AA32">
        <v>46221</v>
      </c>
      <c r="AB32" s="3">
        <v>46253</v>
      </c>
    </row>
    <row r="33" spans="1:31" hidden="1" x14ac:dyDescent="0.3">
      <c r="B33" s="3" t="s">
        <v>11</v>
      </c>
      <c r="D33">
        <v>22571</v>
      </c>
      <c r="E33" s="65"/>
      <c r="F33">
        <v>22931</v>
      </c>
      <c r="I33">
        <v>22939</v>
      </c>
      <c r="L33">
        <v>22939</v>
      </c>
      <c r="O33">
        <v>22908</v>
      </c>
      <c r="R33" s="3">
        <v>22969</v>
      </c>
      <c r="U33">
        <v>3.0828789152229943</v>
      </c>
      <c r="V33">
        <v>3.0249134125105899</v>
      </c>
      <c r="W33">
        <v>2.8916962915446538</v>
      </c>
      <c r="X33">
        <v>3.1169389382494894</v>
      </c>
      <c r="Y33" s="3">
        <v>2.9081385891328924</v>
      </c>
      <c r="Z33">
        <v>22931</v>
      </c>
      <c r="AA33">
        <v>22926</v>
      </c>
      <c r="AB33" s="3">
        <v>22854</v>
      </c>
    </row>
    <row r="34" spans="1:31" hidden="1" x14ac:dyDescent="0.3">
      <c r="B34" s="3" t="s">
        <v>12</v>
      </c>
      <c r="D34" s="3">
        <v>0</v>
      </c>
      <c r="E34" s="65"/>
      <c r="F34">
        <v>0</v>
      </c>
      <c r="I34">
        <v>0</v>
      </c>
      <c r="L34">
        <v>0</v>
      </c>
      <c r="O34">
        <v>0</v>
      </c>
      <c r="R34" s="3">
        <v>0</v>
      </c>
      <c r="U34">
        <v>2.9963594101828646</v>
      </c>
      <c r="V34">
        <v>3.0249134125105903</v>
      </c>
      <c r="W34">
        <v>2.9375962326802836</v>
      </c>
      <c r="X34">
        <v>3.5325307966827548</v>
      </c>
      <c r="Y34" s="3">
        <v>3.229036640347557</v>
      </c>
      <c r="Z34">
        <v>0</v>
      </c>
      <c r="AA34">
        <v>0</v>
      </c>
      <c r="AB34" s="3">
        <v>0</v>
      </c>
    </row>
    <row r="35" spans="1:31" hidden="1" x14ac:dyDescent="0.3">
      <c r="B35" s="3" t="s">
        <v>13</v>
      </c>
      <c r="D35" s="3">
        <v>0</v>
      </c>
      <c r="E35" s="65"/>
      <c r="F35">
        <v>0</v>
      </c>
      <c r="I35">
        <v>0</v>
      </c>
      <c r="L35">
        <v>0</v>
      </c>
      <c r="O35">
        <v>0</v>
      </c>
      <c r="R35" s="3">
        <v>0</v>
      </c>
      <c r="U35">
        <v>2.9250175194642249</v>
      </c>
      <c r="V35">
        <v>2.9388969173681092</v>
      </c>
      <c r="W35">
        <v>2.9879961680448961</v>
      </c>
      <c r="X35">
        <v>3.0396195227270217</v>
      </c>
      <c r="Y35" s="3">
        <v>3.1562012274073861</v>
      </c>
      <c r="Z35">
        <v>0</v>
      </c>
      <c r="AA35">
        <v>0</v>
      </c>
      <c r="AB35" s="3">
        <v>0</v>
      </c>
    </row>
    <row r="36" spans="1:31" s="1" customFormat="1" hidden="1" x14ac:dyDescent="0.3">
      <c r="B36" s="5" t="s">
        <v>14</v>
      </c>
      <c r="C36" s="3"/>
      <c r="D36" s="3">
        <v>0</v>
      </c>
      <c r="E36" s="65"/>
      <c r="F36" s="1">
        <v>0</v>
      </c>
      <c r="H36" s="5"/>
      <c r="I36" s="1">
        <v>0</v>
      </c>
      <c r="K36" s="5"/>
      <c r="L36" s="1">
        <v>0</v>
      </c>
      <c r="N36" s="5"/>
      <c r="O36" s="1">
        <v>0</v>
      </c>
      <c r="Q36" s="5"/>
      <c r="R36" s="5">
        <v>0</v>
      </c>
      <c r="U36" s="25">
        <v>8.0304377937365126E-4</v>
      </c>
      <c r="V36" s="25">
        <v>1.0479637510093938E-3</v>
      </c>
      <c r="W36" s="25">
        <v>1.367621165253282E-3</v>
      </c>
      <c r="X36" s="25">
        <v>1.8783954486622074E-3</v>
      </c>
      <c r="Y36" s="55">
        <v>1.3870894391128253E-3</v>
      </c>
      <c r="Z36" s="1">
        <v>0</v>
      </c>
      <c r="AA36" s="1">
        <v>0</v>
      </c>
      <c r="AB36" s="5">
        <v>0</v>
      </c>
    </row>
    <row r="37" spans="1:31" s="40" customFormat="1" x14ac:dyDescent="0.3">
      <c r="B37" s="41"/>
      <c r="C37" s="41"/>
      <c r="D37" s="41"/>
      <c r="E37" s="53"/>
      <c r="G37" s="54">
        <v>2.5190762199966642E-2</v>
      </c>
      <c r="H37" s="58">
        <v>8.977713258369309E-4</v>
      </c>
      <c r="J37" s="54">
        <v>2.1659283122274879E-2</v>
      </c>
      <c r="K37" s="58">
        <v>1.171205097118444E-3</v>
      </c>
      <c r="M37" s="54">
        <v>2.3304198181578271E-2</v>
      </c>
      <c r="N37" s="58">
        <v>1.0927963129019537E-3</v>
      </c>
      <c r="P37" s="54">
        <v>2.4574341917225292E-2</v>
      </c>
      <c r="Q37" s="58">
        <v>1.4546126619133526E-3</v>
      </c>
      <c r="R37" s="41"/>
      <c r="S37" s="54">
        <v>2.4113967630517829E-2</v>
      </c>
      <c r="T37" s="59">
        <v>1.0662102398479685E-3</v>
      </c>
      <c r="U37" s="52"/>
      <c r="V37" s="52"/>
      <c r="W37" s="52"/>
      <c r="X37" s="52"/>
      <c r="Y37" s="56"/>
      <c r="AB37" s="41"/>
    </row>
    <row r="38" spans="1:31" hidden="1" x14ac:dyDescent="0.3">
      <c r="A38">
        <v>8.3129999999999996E-2</v>
      </c>
      <c r="B38" s="3" t="s">
        <v>15</v>
      </c>
      <c r="E38" s="65">
        <v>6.16</v>
      </c>
      <c r="F38">
        <v>161</v>
      </c>
      <c r="I38">
        <v>80</v>
      </c>
      <c r="L38">
        <v>494</v>
      </c>
      <c r="O38">
        <v>385</v>
      </c>
      <c r="R38" s="3">
        <v>970</v>
      </c>
      <c r="Z38">
        <v>161</v>
      </c>
    </row>
    <row r="39" spans="1:31" hidden="1" x14ac:dyDescent="0.3">
      <c r="B39" s="3" t="s">
        <v>16</v>
      </c>
      <c r="C39" s="3">
        <v>7888</v>
      </c>
      <c r="D39" s="3">
        <v>7598.456596</v>
      </c>
      <c r="E39" s="65"/>
      <c r="F39" s="20">
        <v>7679</v>
      </c>
      <c r="I39">
        <v>7701</v>
      </c>
      <c r="L39">
        <v>7692</v>
      </c>
      <c r="O39">
        <v>7692</v>
      </c>
      <c r="R39">
        <v>7692</v>
      </c>
      <c r="U39" s="20">
        <v>2.6495943204868153</v>
      </c>
      <c r="V39">
        <v>2.3706896551724137</v>
      </c>
      <c r="W39">
        <v>2.4847870182555782</v>
      </c>
      <c r="X39">
        <v>2.4847870182555782</v>
      </c>
      <c r="Y39" s="3">
        <v>2.4847870182555782</v>
      </c>
      <c r="Z39">
        <v>7679</v>
      </c>
      <c r="AA39">
        <v>7692.9447134202701</v>
      </c>
      <c r="AB39" s="3">
        <v>7701.9865426960496</v>
      </c>
      <c r="AC39" s="20">
        <v>2.6495943204868153</v>
      </c>
      <c r="AD39">
        <v>2.472810428242012</v>
      </c>
      <c r="AE39">
        <v>2.3581827751515014</v>
      </c>
    </row>
    <row r="40" spans="1:31" hidden="1" x14ac:dyDescent="0.3">
      <c r="B40" s="3" t="s">
        <v>10</v>
      </c>
      <c r="D40" s="3">
        <v>52173</v>
      </c>
      <c r="E40" s="65"/>
      <c r="F40">
        <v>53135</v>
      </c>
      <c r="I40">
        <v>52663</v>
      </c>
      <c r="L40">
        <v>52355</v>
      </c>
      <c r="O40">
        <v>52355</v>
      </c>
      <c r="R40">
        <v>52355</v>
      </c>
      <c r="U40">
        <v>2.4479753</v>
      </c>
      <c r="V40">
        <v>2.1135774000000001</v>
      </c>
      <c r="W40">
        <v>2.3987645679999998</v>
      </c>
      <c r="X40">
        <v>2.4124634999999999</v>
      </c>
      <c r="Y40" s="3">
        <v>2.4576543000000002</v>
      </c>
      <c r="Z40">
        <v>53135</v>
      </c>
      <c r="AA40">
        <v>52355</v>
      </c>
      <c r="AB40" s="3">
        <v>52663</v>
      </c>
    </row>
    <row r="41" spans="1:31" hidden="1" x14ac:dyDescent="0.3">
      <c r="B41" s="3" t="s">
        <v>11</v>
      </c>
      <c r="D41" s="3">
        <v>14659</v>
      </c>
      <c r="E41" s="65"/>
      <c r="F41">
        <v>14782</v>
      </c>
      <c r="I41">
        <v>14877</v>
      </c>
      <c r="L41">
        <v>14880</v>
      </c>
      <c r="O41">
        <v>14880</v>
      </c>
      <c r="R41">
        <v>14880</v>
      </c>
      <c r="U41">
        <v>2.5323246996953879</v>
      </c>
      <c r="V41">
        <v>2.1353652643678158</v>
      </c>
      <c r="W41">
        <v>2.2197961755707172</v>
      </c>
      <c r="X41">
        <v>2.3773060768230962</v>
      </c>
      <c r="Y41" s="3">
        <v>2.2263249181331433</v>
      </c>
      <c r="Z41">
        <v>14782</v>
      </c>
      <c r="AA41">
        <v>14880</v>
      </c>
      <c r="AB41" s="3">
        <v>14877</v>
      </c>
    </row>
    <row r="42" spans="1:31" hidden="1" x14ac:dyDescent="0.3">
      <c r="B42" s="3" t="s">
        <v>12</v>
      </c>
      <c r="D42" s="3">
        <v>0</v>
      </c>
      <c r="E42" s="65"/>
      <c r="F42">
        <v>0</v>
      </c>
      <c r="I42">
        <v>0</v>
      </c>
      <c r="L42">
        <v>0</v>
      </c>
      <c r="O42">
        <v>0</v>
      </c>
      <c r="R42">
        <v>0</v>
      </c>
      <c r="U42">
        <v>2.5432981067274012</v>
      </c>
      <c r="V42">
        <v>2.1353652643678158</v>
      </c>
      <c r="W42">
        <v>2.2550310355004113</v>
      </c>
      <c r="X42">
        <v>2.6942802203995089</v>
      </c>
      <c r="Y42" s="3">
        <v>2.4719883573754213</v>
      </c>
      <c r="Z42">
        <v>0</v>
      </c>
      <c r="AA42">
        <v>0</v>
      </c>
      <c r="AB42" s="3">
        <v>0</v>
      </c>
    </row>
    <row r="43" spans="1:31" hidden="1" x14ac:dyDescent="0.3">
      <c r="B43" s="3" t="s">
        <v>13</v>
      </c>
      <c r="D43" s="3">
        <v>0</v>
      </c>
      <c r="E43" s="65"/>
      <c r="F43">
        <v>0</v>
      </c>
      <c r="I43">
        <v>0</v>
      </c>
      <c r="L43">
        <v>0</v>
      </c>
      <c r="O43">
        <v>0</v>
      </c>
      <c r="R43">
        <v>0</v>
      </c>
      <c r="U43">
        <v>2.4221886730737152</v>
      </c>
      <c r="V43">
        <v>2.0746439772293948</v>
      </c>
      <c r="W43">
        <v>2.2937202934624286</v>
      </c>
      <c r="X43">
        <v>2.3183341431344617</v>
      </c>
      <c r="Y43" s="3">
        <v>2.4162292214947727</v>
      </c>
      <c r="Z43">
        <v>0</v>
      </c>
      <c r="AA43">
        <v>0</v>
      </c>
      <c r="AB43" s="3">
        <v>0</v>
      </c>
    </row>
    <row r="44" spans="1:31" s="1" customFormat="1" hidden="1" x14ac:dyDescent="0.3">
      <c r="B44" s="5" t="s">
        <v>14</v>
      </c>
      <c r="C44" s="3"/>
      <c r="D44" s="1">
        <v>0</v>
      </c>
      <c r="E44" s="65"/>
      <c r="F44" s="1">
        <v>0</v>
      </c>
      <c r="H44" s="5"/>
      <c r="I44" s="1">
        <v>0</v>
      </c>
      <c r="K44" s="5"/>
      <c r="L44" s="1">
        <v>0</v>
      </c>
      <c r="N44" s="5"/>
      <c r="O44" s="1">
        <v>0</v>
      </c>
      <c r="Q44" s="5"/>
      <c r="R44" s="1">
        <v>0</v>
      </c>
      <c r="U44" s="25">
        <v>8.977713258369309E-4</v>
      </c>
      <c r="V44" s="25">
        <v>1.171205097118444E-3</v>
      </c>
      <c r="W44" s="25">
        <v>1.0927963129019537E-3</v>
      </c>
      <c r="X44" s="25">
        <v>1.4546126619133526E-3</v>
      </c>
      <c r="Y44" s="55">
        <v>1.0662102398479685E-3</v>
      </c>
      <c r="Z44" s="1">
        <v>0</v>
      </c>
      <c r="AA44" s="1">
        <v>0</v>
      </c>
      <c r="AB44" s="5">
        <v>0</v>
      </c>
    </row>
    <row r="45" spans="1:31" s="40" customFormat="1" x14ac:dyDescent="0.3">
      <c r="B45" s="41"/>
      <c r="C45" s="41"/>
      <c r="E45" s="53"/>
      <c r="G45" s="54">
        <v>4.7862167287375391E-2</v>
      </c>
      <c r="H45" s="58">
        <v>1.594704984570701E-3</v>
      </c>
      <c r="J45" s="54">
        <v>3.5383662036533925E-2</v>
      </c>
      <c r="K45" s="58">
        <v>2.3628448108513316E-3</v>
      </c>
      <c r="M45" s="44">
        <v>4.901346390132031E-2</v>
      </c>
      <c r="N45" s="58">
        <v>1.490054849172133E-3</v>
      </c>
      <c r="P45" s="54">
        <v>4.9799532376656901E-2</v>
      </c>
      <c r="Q45" s="58">
        <v>1.6638074092586953E-3</v>
      </c>
      <c r="S45" s="54">
        <v>3.5399493437407809E-2</v>
      </c>
      <c r="T45" s="59">
        <v>2.9375484614129897E-3</v>
      </c>
      <c r="U45" s="52"/>
      <c r="V45" s="52"/>
      <c r="W45" s="52"/>
      <c r="X45" s="52"/>
      <c r="Y45" s="56"/>
      <c r="AB45" s="41"/>
    </row>
    <row r="46" spans="1:31" hidden="1" x14ac:dyDescent="0.3">
      <c r="A46">
        <v>0.10184699999999999</v>
      </c>
      <c r="B46" s="3" t="s">
        <v>15</v>
      </c>
      <c r="E46" s="65" t="s">
        <v>2</v>
      </c>
      <c r="F46">
        <v>547</v>
      </c>
      <c r="I46">
        <v>150</v>
      </c>
      <c r="L46">
        <v>348</v>
      </c>
      <c r="O46">
        <v>811</v>
      </c>
      <c r="R46" s="3">
        <v>617</v>
      </c>
      <c r="Z46">
        <v>547</v>
      </c>
    </row>
    <row r="47" spans="1:31" hidden="1" x14ac:dyDescent="0.3">
      <c r="B47" s="3" t="s">
        <v>16</v>
      </c>
      <c r="C47" s="3">
        <v>9748</v>
      </c>
      <c r="D47" s="3">
        <v>9217.5768320000006</v>
      </c>
      <c r="E47" s="65"/>
      <c r="F47" s="20">
        <v>9258</v>
      </c>
      <c r="I47">
        <v>9403</v>
      </c>
      <c r="L47">
        <v>9259</v>
      </c>
      <c r="O47" s="20">
        <v>9258</v>
      </c>
      <c r="R47" s="3">
        <v>9399</v>
      </c>
      <c r="U47" s="20">
        <v>5.0266721378744359</v>
      </c>
      <c r="V47">
        <v>3.5391875256462861</v>
      </c>
      <c r="W47">
        <v>5.0164136233073453</v>
      </c>
      <c r="X47" s="20">
        <v>5.0266721378744359</v>
      </c>
      <c r="Y47" s="3">
        <v>3.5802215839146494</v>
      </c>
      <c r="Z47">
        <v>9258</v>
      </c>
      <c r="AA47">
        <v>9219.2031999999999</v>
      </c>
      <c r="AB47" s="3">
        <v>9395.25</v>
      </c>
      <c r="AC47">
        <v>5.0266721378744359</v>
      </c>
      <c r="AD47" s="20">
        <v>5.4246696758309403</v>
      </c>
      <c r="AE47">
        <v>3.6186910135412393</v>
      </c>
    </row>
    <row r="48" spans="1:31" hidden="1" x14ac:dyDescent="0.3">
      <c r="B48" s="3" t="s">
        <v>10</v>
      </c>
      <c r="D48">
        <v>80640</v>
      </c>
      <c r="E48" s="65"/>
      <c r="F48">
        <v>81016</v>
      </c>
      <c r="I48">
        <v>83159</v>
      </c>
      <c r="L48">
        <v>81017</v>
      </c>
      <c r="O48">
        <v>81016</v>
      </c>
      <c r="R48" s="3">
        <v>83721</v>
      </c>
      <c r="U48">
        <v>4.6586533000000001</v>
      </c>
      <c r="V48">
        <v>3.78653</v>
      </c>
      <c r="W48">
        <v>5.2546876400000002</v>
      </c>
      <c r="X48">
        <v>4.897532</v>
      </c>
      <c r="Y48" s="3">
        <v>3.6753209999999998</v>
      </c>
      <c r="Z48">
        <v>81016</v>
      </c>
      <c r="AA48">
        <v>80876</v>
      </c>
      <c r="AB48" s="3">
        <v>82782</v>
      </c>
    </row>
    <row r="49" spans="1:31" hidden="1" x14ac:dyDescent="0.3">
      <c r="B49" s="3" t="s">
        <v>11</v>
      </c>
      <c r="D49">
        <v>14831</v>
      </c>
      <c r="E49" s="65"/>
      <c r="F49">
        <v>14895</v>
      </c>
      <c r="I49">
        <v>15040</v>
      </c>
      <c r="L49">
        <v>14896</v>
      </c>
      <c r="O49">
        <v>14895</v>
      </c>
      <c r="R49" s="3">
        <v>14973</v>
      </c>
      <c r="U49">
        <v>4.811388692436382</v>
      </c>
      <c r="V49">
        <v>3.4884369169744218</v>
      </c>
      <c r="W49">
        <v>4.6686823924124292</v>
      </c>
      <c r="X49">
        <v>4.8175748242108911</v>
      </c>
      <c r="Y49" s="3">
        <v>3.2682624251867787</v>
      </c>
      <c r="Z49">
        <v>14895</v>
      </c>
      <c r="AA49">
        <v>14811</v>
      </c>
      <c r="AB49" s="3">
        <v>15057</v>
      </c>
    </row>
    <row r="50" spans="1:31" hidden="1" x14ac:dyDescent="0.3">
      <c r="B50" s="3" t="s">
        <v>12</v>
      </c>
      <c r="D50" s="3">
        <v>0</v>
      </c>
      <c r="E50" s="65"/>
      <c r="F50">
        <v>0</v>
      </c>
      <c r="I50">
        <v>4925</v>
      </c>
      <c r="L50">
        <v>228</v>
      </c>
      <c r="O50">
        <v>130</v>
      </c>
      <c r="R50" s="3">
        <v>6353</v>
      </c>
      <c r="U50">
        <v>4.8322380434369387</v>
      </c>
      <c r="V50">
        <v>3.4884369169744218</v>
      </c>
      <c r="W50">
        <v>4.7427884621332623</v>
      </c>
      <c r="X50">
        <v>5.4599181341056759</v>
      </c>
      <c r="Y50" s="3">
        <v>3.6288982790004924</v>
      </c>
      <c r="Z50">
        <v>0</v>
      </c>
      <c r="AA50">
        <v>270</v>
      </c>
      <c r="AB50" s="3">
        <v>3330</v>
      </c>
    </row>
    <row r="51" spans="1:31" hidden="1" x14ac:dyDescent="0.3">
      <c r="B51" s="3" t="s">
        <v>13</v>
      </c>
      <c r="D51" s="3">
        <v>0</v>
      </c>
      <c r="E51" s="65"/>
      <c r="F51">
        <v>0</v>
      </c>
      <c r="I51">
        <v>0</v>
      </c>
      <c r="L51">
        <v>0</v>
      </c>
      <c r="R51" s="3">
        <v>0</v>
      </c>
      <c r="U51">
        <v>4.6021314699399412</v>
      </c>
      <c r="V51">
        <v>3.3892396586718321</v>
      </c>
      <c r="W51">
        <v>4.8241598328071174</v>
      </c>
      <c r="X51">
        <v>4.6980690921374428</v>
      </c>
      <c r="Y51" s="3">
        <v>3.5470434306019851</v>
      </c>
      <c r="Z51">
        <v>0</v>
      </c>
      <c r="AA51">
        <v>0</v>
      </c>
      <c r="AB51" s="3">
        <v>0</v>
      </c>
    </row>
    <row r="52" spans="1:31" s="1" customFormat="1" hidden="1" x14ac:dyDescent="0.3">
      <c r="B52" s="5" t="s">
        <v>14</v>
      </c>
      <c r="C52" s="3"/>
      <c r="D52" s="3">
        <v>0</v>
      </c>
      <c r="E52" s="65"/>
      <c r="F52" s="1">
        <v>0</v>
      </c>
      <c r="H52" s="5"/>
      <c r="I52" s="1">
        <v>0</v>
      </c>
      <c r="K52" s="5"/>
      <c r="L52" s="1">
        <v>0</v>
      </c>
      <c r="N52" s="5"/>
      <c r="Q52" s="5"/>
      <c r="R52" s="5">
        <v>0</v>
      </c>
      <c r="U52" s="25">
        <v>1.6638074092586953E-3</v>
      </c>
      <c r="V52" s="25">
        <v>1.490054849172133E-3</v>
      </c>
      <c r="W52" s="25">
        <v>2.3628448108513316E-3</v>
      </c>
      <c r="X52" s="25">
        <v>2.9375484614129897E-3</v>
      </c>
      <c r="Y52" s="55">
        <v>1.594704984570701E-3</v>
      </c>
      <c r="Z52" s="1">
        <v>0</v>
      </c>
      <c r="AA52" s="1">
        <v>0</v>
      </c>
      <c r="AB52" s="5">
        <v>0</v>
      </c>
    </row>
    <row r="53" spans="1:31" s="40" customFormat="1" x14ac:dyDescent="0.3">
      <c r="B53" s="41"/>
      <c r="C53" s="41"/>
      <c r="D53" s="41"/>
      <c r="E53" s="53"/>
      <c r="G53" s="54">
        <v>6.882258193300083E-3</v>
      </c>
      <c r="H53" s="58">
        <v>8.840673015710047E-4</v>
      </c>
      <c r="J53" s="54">
        <v>8.2863197451521192E-3</v>
      </c>
      <c r="K53" s="58">
        <v>1.2517706971759549E-3</v>
      </c>
      <c r="M53" s="54">
        <v>9.3526082712049024E-3</v>
      </c>
      <c r="N53" s="58">
        <v>3.3848699388064471E-4</v>
      </c>
      <c r="P53" s="54">
        <v>1.2824641225883986E-2</v>
      </c>
      <c r="Q53" s="58">
        <v>8.7876718826680647E-4</v>
      </c>
      <c r="R53" s="41"/>
      <c r="S53" s="54">
        <v>8.923976360446239E-3</v>
      </c>
      <c r="T53" s="59">
        <v>4.1095643390616472E-4</v>
      </c>
      <c r="U53" s="52"/>
      <c r="V53" s="52"/>
      <c r="W53" s="52"/>
      <c r="X53" s="52"/>
      <c r="Y53" s="56"/>
      <c r="AB53" s="41"/>
    </row>
    <row r="54" spans="1:31" hidden="1" x14ac:dyDescent="0.3">
      <c r="A54">
        <v>5.3658999999999998E-2</v>
      </c>
      <c r="B54" s="3" t="s">
        <v>15</v>
      </c>
      <c r="E54" s="64">
        <v>9</v>
      </c>
      <c r="F54">
        <v>730</v>
      </c>
      <c r="I54">
        <v>612</v>
      </c>
      <c r="L54">
        <v>611</v>
      </c>
      <c r="O54">
        <v>2880</v>
      </c>
      <c r="R54" s="3">
        <v>1642</v>
      </c>
      <c r="Z54">
        <v>730</v>
      </c>
    </row>
    <row r="55" spans="1:31" hidden="1" x14ac:dyDescent="0.3">
      <c r="B55" s="3" t="s">
        <v>16</v>
      </c>
      <c r="C55" s="3">
        <v>6763</v>
      </c>
      <c r="D55" s="3">
        <v>6669.6457680000003</v>
      </c>
      <c r="E55" s="64"/>
      <c r="F55">
        <v>6713</v>
      </c>
      <c r="I55">
        <v>6769</v>
      </c>
      <c r="L55">
        <v>6708</v>
      </c>
      <c r="O55" s="20">
        <v>6681</v>
      </c>
      <c r="R55" s="3">
        <v>6700</v>
      </c>
      <c r="U55">
        <v>0.73931687121100098</v>
      </c>
      <c r="V55">
        <v>0.73931687121100098</v>
      </c>
      <c r="W55">
        <v>0.81324855833210119</v>
      </c>
      <c r="X55" s="20">
        <v>1.2124796687860417</v>
      </c>
      <c r="Y55" s="3">
        <v>0.93153925772586132</v>
      </c>
      <c r="Z55">
        <v>6713</v>
      </c>
      <c r="AA55">
        <v>6707.95</v>
      </c>
      <c r="AB55" s="3">
        <v>6705.7797</v>
      </c>
      <c r="AC55">
        <v>0.73931687121100098</v>
      </c>
      <c r="AD55">
        <v>0.81398787520331495</v>
      </c>
      <c r="AE55" s="20">
        <v>0.84607866331509618</v>
      </c>
    </row>
    <row r="56" spans="1:31" hidden="1" x14ac:dyDescent="0.3">
      <c r="B56" s="3" t="s">
        <v>10</v>
      </c>
      <c r="D56" s="3">
        <v>36380</v>
      </c>
      <c r="E56" s="64"/>
      <c r="F56">
        <v>37413</v>
      </c>
      <c r="I56">
        <v>38765</v>
      </c>
      <c r="L56">
        <v>37245</v>
      </c>
      <c r="O56">
        <v>36671</v>
      </c>
      <c r="R56" s="3">
        <v>37128</v>
      </c>
      <c r="U56">
        <v>0.65336787600000001</v>
      </c>
      <c r="V56">
        <v>0.97625563559999995</v>
      </c>
      <c r="W56">
        <v>1.1466534559999999</v>
      </c>
      <c r="X56">
        <v>1.34325432</v>
      </c>
      <c r="Y56" s="3">
        <v>0.89753466999999998</v>
      </c>
      <c r="Z56">
        <v>37413</v>
      </c>
      <c r="AA56">
        <v>37307</v>
      </c>
      <c r="AB56" s="3">
        <v>37243</v>
      </c>
    </row>
    <row r="57" spans="1:31" hidden="1" x14ac:dyDescent="0.3">
      <c r="B57" s="3" t="s">
        <v>11</v>
      </c>
      <c r="D57" s="3">
        <v>14722</v>
      </c>
      <c r="E57" s="64"/>
      <c r="F57">
        <v>14776</v>
      </c>
      <c r="I57">
        <v>14843</v>
      </c>
      <c r="L57">
        <v>14773</v>
      </c>
      <c r="O57">
        <v>14735</v>
      </c>
      <c r="R57" s="3">
        <v>14759</v>
      </c>
      <c r="U57">
        <v>0.6918453786443125</v>
      </c>
      <c r="V57">
        <v>0.81693928895761947</v>
      </c>
      <c r="W57">
        <v>0.89086455196913683</v>
      </c>
      <c r="X57">
        <v>1.2406475673718649</v>
      </c>
      <c r="Y57" s="3">
        <v>0.82390717465128871</v>
      </c>
      <c r="Z57">
        <v>14776</v>
      </c>
      <c r="AA57">
        <v>14768</v>
      </c>
      <c r="AB57" s="3">
        <v>14766</v>
      </c>
    </row>
    <row r="58" spans="1:31" hidden="1" x14ac:dyDescent="0.3">
      <c r="B58" s="3" t="s">
        <v>12</v>
      </c>
      <c r="D58" s="3">
        <v>8739</v>
      </c>
      <c r="E58" s="64"/>
      <c r="F58">
        <v>8739</v>
      </c>
      <c r="I58">
        <v>8739</v>
      </c>
      <c r="L58">
        <v>8739</v>
      </c>
      <c r="O58">
        <v>8573</v>
      </c>
      <c r="R58" s="3">
        <v>8739</v>
      </c>
      <c r="U58">
        <v>0.69484337528510454</v>
      </c>
      <c r="V58">
        <v>0.81693928895761947</v>
      </c>
      <c r="W58">
        <v>0.90500525914325014</v>
      </c>
      <c r="X58">
        <v>1.4060672430214467</v>
      </c>
      <c r="Y58" s="3">
        <v>0.91482106978522415</v>
      </c>
      <c r="Z58">
        <v>8739</v>
      </c>
      <c r="AA58">
        <v>8739</v>
      </c>
      <c r="AB58" s="3">
        <v>8739</v>
      </c>
    </row>
    <row r="59" spans="1:31" hidden="1" x14ac:dyDescent="0.3">
      <c r="B59" s="3" t="s">
        <v>13</v>
      </c>
      <c r="D59" s="3">
        <v>0</v>
      </c>
      <c r="E59" s="64"/>
      <c r="F59">
        <v>0</v>
      </c>
      <c r="I59">
        <v>0</v>
      </c>
      <c r="L59">
        <v>0</v>
      </c>
      <c r="O59">
        <v>0</v>
      </c>
      <c r="R59" s="3">
        <v>0</v>
      </c>
      <c r="U59">
        <v>0.66175559550962337</v>
      </c>
      <c r="V59">
        <v>0.7937087878498198</v>
      </c>
      <c r="W59">
        <v>0.92053231015796277</v>
      </c>
      <c r="X59">
        <v>1.2098718137626403</v>
      </c>
      <c r="Y59" s="3">
        <v>0.89418600806074533</v>
      </c>
      <c r="Z59">
        <v>0</v>
      </c>
      <c r="AA59">
        <v>0</v>
      </c>
      <c r="AB59" s="3">
        <v>0</v>
      </c>
    </row>
    <row r="60" spans="1:31" s="1" customFormat="1" hidden="1" x14ac:dyDescent="0.3">
      <c r="B60" s="5" t="s">
        <v>14</v>
      </c>
      <c r="C60" s="3"/>
      <c r="D60" s="5">
        <v>0</v>
      </c>
      <c r="E60" s="64"/>
      <c r="F60" s="1">
        <v>0</v>
      </c>
      <c r="H60" s="5"/>
      <c r="I60" s="1">
        <v>0</v>
      </c>
      <c r="K60" s="5"/>
      <c r="L60" s="1">
        <v>0</v>
      </c>
      <c r="N60" s="5"/>
      <c r="O60" s="1">
        <v>0</v>
      </c>
      <c r="Q60" s="5"/>
      <c r="R60" s="5">
        <v>0</v>
      </c>
      <c r="U60" s="25">
        <v>3.3848699388064471E-4</v>
      </c>
      <c r="V60" s="25">
        <v>8.840673015710047E-4</v>
      </c>
      <c r="W60" s="25">
        <v>1.2517706971759549E-3</v>
      </c>
      <c r="X60" s="25">
        <v>8.7876718826680647E-4</v>
      </c>
      <c r="Y60" s="55">
        <v>4.1095643390616472E-4</v>
      </c>
      <c r="Z60" s="1">
        <v>0</v>
      </c>
      <c r="AA60" s="1">
        <v>0</v>
      </c>
      <c r="AB60" s="5">
        <v>0</v>
      </c>
    </row>
    <row r="61" spans="1:31" s="40" customFormat="1" x14ac:dyDescent="0.3">
      <c r="B61" s="41"/>
      <c r="C61" s="41"/>
      <c r="D61" s="41"/>
      <c r="E61" s="51"/>
      <c r="G61" s="54">
        <v>0.11792206806067475</v>
      </c>
      <c r="H61" s="58">
        <v>3.9459213597842499E-3</v>
      </c>
      <c r="J61" s="54">
        <v>0.11535902571092854</v>
      </c>
      <c r="K61" s="58">
        <v>4.1999999999999997E-3</v>
      </c>
      <c r="M61" s="62">
        <v>0.117351431417496</v>
      </c>
      <c r="N61" s="56">
        <v>5.277444936695911E-3</v>
      </c>
      <c r="P61" s="62">
        <v>0.11437028919610846</v>
      </c>
      <c r="Q61" s="56">
        <v>4.0084266076378669E-3</v>
      </c>
      <c r="S61" s="54">
        <v>0.11844823884287131</v>
      </c>
      <c r="T61" s="59">
        <v>2.7822463341486614E-3</v>
      </c>
      <c r="U61" s="52"/>
      <c r="V61" s="52"/>
      <c r="W61" s="52"/>
      <c r="X61" s="52"/>
      <c r="Y61" s="56"/>
      <c r="AB61" s="41"/>
    </row>
    <row r="62" spans="1:31" hidden="1" x14ac:dyDescent="0.3">
      <c r="A62">
        <v>5.24699E-2</v>
      </c>
      <c r="B62" s="3" t="s">
        <v>15</v>
      </c>
      <c r="E62" s="64">
        <v>10</v>
      </c>
      <c r="F62" s="3">
        <v>1037</v>
      </c>
      <c r="I62">
        <v>845</v>
      </c>
      <c r="L62">
        <v>1514</v>
      </c>
      <c r="O62">
        <v>1182</v>
      </c>
      <c r="R62">
        <v>1013</v>
      </c>
      <c r="Z62">
        <v>1013</v>
      </c>
    </row>
    <row r="63" spans="1:31" hidden="1" x14ac:dyDescent="0.3">
      <c r="B63" s="3" t="s">
        <v>16</v>
      </c>
      <c r="C63" s="3">
        <v>7901</v>
      </c>
      <c r="D63" s="3">
        <v>6926.0230057200006</v>
      </c>
      <c r="E63" s="64"/>
      <c r="F63" s="21">
        <v>6946</v>
      </c>
      <c r="I63">
        <v>6961</v>
      </c>
      <c r="L63">
        <v>6957</v>
      </c>
      <c r="O63">
        <v>6967</v>
      </c>
      <c r="R63">
        <v>6951</v>
      </c>
      <c r="U63" s="21">
        <v>12.087077585115807</v>
      </c>
      <c r="V63">
        <v>11.897228198962157</v>
      </c>
      <c r="W63">
        <v>11.821288444500697</v>
      </c>
      <c r="X63">
        <v>11.947854701936464</v>
      </c>
      <c r="Y63" s="3">
        <v>12.023794456397924</v>
      </c>
      <c r="Z63">
        <v>6951</v>
      </c>
      <c r="AA63">
        <v>6947.4631499999996</v>
      </c>
      <c r="AB63" s="3">
        <v>6967.26</v>
      </c>
      <c r="AC63">
        <v>12.023794456397924</v>
      </c>
      <c r="AD63" s="20">
        <v>12.0685590431591</v>
      </c>
      <c r="AE63">
        <v>11.817997721807364</v>
      </c>
    </row>
    <row r="64" spans="1:31" hidden="1" x14ac:dyDescent="0.3">
      <c r="B64" s="3" t="s">
        <v>10</v>
      </c>
      <c r="D64" s="3">
        <v>22757</v>
      </c>
      <c r="E64" s="64"/>
      <c r="F64" s="3">
        <v>23249</v>
      </c>
      <c r="I64">
        <v>23574</v>
      </c>
      <c r="L64">
        <v>23517</v>
      </c>
      <c r="O64">
        <v>23731</v>
      </c>
      <c r="R64">
        <v>23203</v>
      </c>
      <c r="U64">
        <v>11.775477543599999</v>
      </c>
      <c r="V64">
        <v>11.986326745674999</v>
      </c>
      <c r="W64">
        <v>12.145775467</v>
      </c>
      <c r="X64">
        <v>12.047654343</v>
      </c>
      <c r="Y64" s="3">
        <v>12.253565399999999</v>
      </c>
      <c r="Z64">
        <v>23203</v>
      </c>
      <c r="AA64">
        <v>23283</v>
      </c>
      <c r="AB64" s="3">
        <v>23731</v>
      </c>
    </row>
    <row r="65" spans="2:28" hidden="1" x14ac:dyDescent="0.3">
      <c r="B65" s="3" t="s">
        <v>11</v>
      </c>
      <c r="D65" s="3">
        <v>16121</v>
      </c>
      <c r="E65" s="64"/>
      <c r="F65" s="3">
        <v>16146</v>
      </c>
      <c r="I65">
        <v>16166</v>
      </c>
      <c r="L65">
        <v>16159</v>
      </c>
      <c r="O65">
        <v>16173</v>
      </c>
      <c r="R65">
        <v>16145</v>
      </c>
      <c r="U65">
        <v>11.854225101200102</v>
      </c>
      <c r="V65">
        <v>11.373121402208168</v>
      </c>
      <c r="W65">
        <v>10.894119959773043</v>
      </c>
      <c r="X65">
        <v>11.648305361619641</v>
      </c>
      <c r="Y65" s="3">
        <v>10.935747683062127</v>
      </c>
      <c r="Z65">
        <v>16145</v>
      </c>
      <c r="AA65">
        <v>16147</v>
      </c>
      <c r="AB65" s="3">
        <v>16173</v>
      </c>
    </row>
    <row r="66" spans="2:28" hidden="1" x14ac:dyDescent="0.3">
      <c r="B66" s="3" t="s">
        <v>12</v>
      </c>
      <c r="D66" s="3">
        <v>11108</v>
      </c>
      <c r="E66" s="64"/>
      <c r="F66" s="3">
        <v>9433</v>
      </c>
      <c r="I66">
        <v>11677</v>
      </c>
      <c r="L66">
        <v>9830</v>
      </c>
      <c r="O66">
        <v>12644</v>
      </c>
      <c r="R66">
        <v>11583</v>
      </c>
      <c r="U66">
        <v>11.905593409971969</v>
      </c>
      <c r="V66">
        <v>11.373121402208168</v>
      </c>
      <c r="W66">
        <v>11.067042498817059</v>
      </c>
      <c r="X66">
        <v>11.961011545824196</v>
      </c>
      <c r="Y66" s="3">
        <v>12.142450875675879</v>
      </c>
      <c r="Z66">
        <v>11583</v>
      </c>
      <c r="AA66">
        <v>11633</v>
      </c>
      <c r="AB66" s="3">
        <v>12644</v>
      </c>
    </row>
    <row r="67" spans="2:28" hidden="1" x14ac:dyDescent="0.3">
      <c r="B67" s="3" t="s">
        <v>13</v>
      </c>
      <c r="D67" s="3">
        <v>0</v>
      </c>
      <c r="E67" s="64"/>
      <c r="F67" s="3">
        <v>0</v>
      </c>
      <c r="I67">
        <v>34</v>
      </c>
      <c r="L67">
        <v>0</v>
      </c>
      <c r="O67">
        <v>0</v>
      </c>
      <c r="R67">
        <v>34</v>
      </c>
      <c r="U67">
        <v>11.338660390449494</v>
      </c>
      <c r="V67">
        <v>11.049715106410781</v>
      </c>
      <c r="W67">
        <v>11.25691822796343</v>
      </c>
      <c r="X67">
        <v>11.07088975636751</v>
      </c>
      <c r="Y67" s="3">
        <v>11.86856100629973</v>
      </c>
      <c r="Z67">
        <v>34</v>
      </c>
      <c r="AA67">
        <v>0</v>
      </c>
      <c r="AB67" s="3">
        <v>0</v>
      </c>
    </row>
    <row r="68" spans="2:28" s="1" customFormat="1" hidden="1" x14ac:dyDescent="0.3">
      <c r="B68" s="5" t="s">
        <v>14</v>
      </c>
      <c r="C68" s="3"/>
      <c r="D68" s="5">
        <v>0</v>
      </c>
      <c r="E68" s="64"/>
      <c r="F68" s="5">
        <v>0</v>
      </c>
      <c r="H68" s="5"/>
      <c r="I68" s="1">
        <v>0</v>
      </c>
      <c r="K68" s="5"/>
      <c r="L68">
        <v>0</v>
      </c>
      <c r="M68"/>
      <c r="N68" s="3"/>
      <c r="O68">
        <v>0</v>
      </c>
      <c r="P68"/>
      <c r="Q68" s="3"/>
      <c r="R68" s="1">
        <v>32</v>
      </c>
      <c r="U68" s="25">
        <v>2.7822463341486614E-3</v>
      </c>
      <c r="V68" s="25">
        <v>3.9459213597842499E-3</v>
      </c>
      <c r="W68" s="25">
        <v>5.277444936695911E-3</v>
      </c>
      <c r="X68" s="25">
        <v>4.0084266076378669E-3</v>
      </c>
      <c r="Y68" s="55">
        <v>5.2788846098090654E-3</v>
      </c>
      <c r="Z68" s="1">
        <v>32</v>
      </c>
      <c r="AA68" s="1">
        <v>0</v>
      </c>
      <c r="AB68" s="5">
        <v>0</v>
      </c>
    </row>
    <row r="69" spans="2:28" x14ac:dyDescent="0.3">
      <c r="F69" s="3"/>
    </row>
    <row r="70" spans="2:28" x14ac:dyDescent="0.3">
      <c r="F70" s="3"/>
    </row>
    <row r="71" spans="2:28" x14ac:dyDescent="0.3">
      <c r="F71" s="3"/>
    </row>
    <row r="72" spans="2:28" x14ac:dyDescent="0.3">
      <c r="F72" s="3"/>
    </row>
    <row r="73" spans="2:28" x14ac:dyDescent="0.3">
      <c r="F73" s="3"/>
    </row>
    <row r="74" spans="2:28" x14ac:dyDescent="0.3">
      <c r="F74" s="3"/>
    </row>
    <row r="75" spans="2:28" x14ac:dyDescent="0.3">
      <c r="F75" s="5"/>
    </row>
  </sheetData>
  <mergeCells count="10">
    <mergeCell ref="E38:E44"/>
    <mergeCell ref="E46:E52"/>
    <mergeCell ref="E54:E60"/>
    <mergeCell ref="E62:E68"/>
    <mergeCell ref="F2:R2"/>
    <mergeCell ref="Z2:AB2"/>
    <mergeCell ref="E6:E12"/>
    <mergeCell ref="E14:E20"/>
    <mergeCell ref="E22:E28"/>
    <mergeCell ref="E30:E3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FE24C-1140-437F-8386-9E5828109478}">
  <dimension ref="A1:BZ279"/>
  <sheetViews>
    <sheetView tabSelected="1" topLeftCell="H1" workbookViewId="0">
      <selection activeCell="O23" sqref="O23"/>
    </sheetView>
  </sheetViews>
  <sheetFormatPr defaultRowHeight="14.4" x14ac:dyDescent="0.3"/>
  <cols>
    <col min="4" max="4" width="8.88671875" style="3"/>
    <col min="6" max="6" width="8.88671875" style="3"/>
    <col min="8" max="8" width="8.88671875" style="3"/>
    <col min="10" max="10" width="8.88671875" style="3"/>
    <col min="12" max="12" width="8.88671875" style="3"/>
    <col min="14" max="14" width="8.88671875" style="3"/>
    <col min="16" max="16" width="8.88671875" style="3"/>
    <col min="22" max="22" width="8.88671875" style="3"/>
    <col min="26" max="26" width="9.109375" bestFit="1" customWidth="1"/>
  </cols>
  <sheetData>
    <row r="1" spans="1:78" x14ac:dyDescent="0.3">
      <c r="E1" s="106" t="s">
        <v>3</v>
      </c>
      <c r="F1" s="108"/>
      <c r="G1" s="108"/>
      <c r="H1" s="108"/>
      <c r="I1" s="108"/>
      <c r="J1" s="108"/>
      <c r="K1" s="108"/>
      <c r="L1" s="108"/>
      <c r="M1" s="108"/>
      <c r="N1" s="108"/>
      <c r="Q1" s="95" t="s">
        <v>29</v>
      </c>
      <c r="R1" s="95"/>
      <c r="S1" s="95"/>
      <c r="T1" s="95"/>
      <c r="U1" s="95"/>
      <c r="V1" s="95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74"/>
      <c r="AT1" s="74"/>
      <c r="AU1" s="74"/>
      <c r="AV1" s="74"/>
      <c r="AW1" s="74"/>
      <c r="AX1" s="74"/>
      <c r="AY1" s="74"/>
      <c r="AZ1" s="74"/>
      <c r="BA1" s="74"/>
      <c r="BB1" s="74"/>
      <c r="BC1" s="74"/>
      <c r="BD1" s="74"/>
      <c r="BE1" s="74"/>
      <c r="BF1" s="74"/>
      <c r="BG1" s="74"/>
      <c r="BH1" s="74"/>
      <c r="BI1" s="74"/>
      <c r="BJ1" s="74"/>
      <c r="BK1" s="74"/>
      <c r="BL1" s="74"/>
      <c r="BM1" s="74"/>
      <c r="BN1" s="74"/>
      <c r="BO1" s="74"/>
      <c r="BP1" s="74"/>
      <c r="BQ1" s="74"/>
      <c r="BR1" s="74"/>
      <c r="BS1" s="74"/>
      <c r="BT1" s="74"/>
      <c r="BU1" s="74"/>
      <c r="BV1" s="74"/>
      <c r="BW1" s="74"/>
      <c r="BX1" s="74"/>
      <c r="BY1" s="74"/>
      <c r="BZ1" s="74"/>
    </row>
    <row r="2" spans="1:78" s="1" customFormat="1" x14ac:dyDescent="0.3">
      <c r="D2" s="5"/>
      <c r="E2" s="106" t="s">
        <v>28</v>
      </c>
      <c r="F2" s="107"/>
      <c r="G2" s="106" t="s">
        <v>28</v>
      </c>
      <c r="H2" s="107"/>
      <c r="I2" s="106" t="s">
        <v>28</v>
      </c>
      <c r="J2" s="107"/>
      <c r="K2" s="106" t="s">
        <v>28</v>
      </c>
      <c r="L2" s="107"/>
      <c r="M2" s="106" t="s">
        <v>28</v>
      </c>
      <c r="N2" s="107"/>
      <c r="P2" s="5"/>
      <c r="Q2" s="106" t="s">
        <v>28</v>
      </c>
      <c r="R2" s="107"/>
      <c r="S2" s="106" t="s">
        <v>28</v>
      </c>
      <c r="T2" s="107"/>
      <c r="U2" s="108" t="s">
        <v>28</v>
      </c>
      <c r="V2" s="107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4"/>
      <c r="AP2" s="74"/>
      <c r="AQ2" s="74"/>
      <c r="AR2" s="74"/>
      <c r="AS2" s="74"/>
      <c r="AT2" s="74"/>
      <c r="AU2" s="74"/>
      <c r="AV2" s="74"/>
      <c r="AW2" s="74"/>
      <c r="AX2" s="74"/>
      <c r="AY2" s="74"/>
      <c r="AZ2" s="74"/>
      <c r="BA2" s="74"/>
      <c r="BB2" s="74"/>
      <c r="BC2" s="74"/>
      <c r="BD2" s="74"/>
      <c r="BE2" s="74"/>
      <c r="BF2" s="74"/>
      <c r="BG2" s="74"/>
      <c r="BH2" s="74"/>
      <c r="BI2" s="74"/>
      <c r="BJ2" s="74"/>
      <c r="BK2" s="74"/>
      <c r="BL2" s="74"/>
      <c r="BM2" s="74"/>
      <c r="BN2" s="74"/>
      <c r="BO2" s="74"/>
      <c r="BP2" s="74"/>
      <c r="BQ2" s="74"/>
      <c r="BR2" s="74"/>
      <c r="BS2" s="74"/>
      <c r="BT2" s="74"/>
      <c r="BU2" s="74"/>
      <c r="BV2" s="74"/>
      <c r="BW2" s="74"/>
      <c r="BX2" s="74"/>
      <c r="BY2" s="74"/>
      <c r="BZ2" s="74"/>
    </row>
    <row r="3" spans="1:78" x14ac:dyDescent="0.3">
      <c r="E3" s="96" t="s">
        <v>23</v>
      </c>
      <c r="F3" s="101" t="s">
        <v>22</v>
      </c>
      <c r="G3" s="96" t="s">
        <v>23</v>
      </c>
      <c r="H3" s="101" t="s">
        <v>22</v>
      </c>
      <c r="I3" s="96" t="s">
        <v>23</v>
      </c>
      <c r="J3" s="101" t="s">
        <v>22</v>
      </c>
      <c r="K3" s="96" t="s">
        <v>23</v>
      </c>
      <c r="L3" s="101" t="s">
        <v>22</v>
      </c>
      <c r="M3" s="96" t="s">
        <v>23</v>
      </c>
      <c r="N3" s="101" t="s">
        <v>22</v>
      </c>
      <c r="Q3" s="117" t="s">
        <v>23</v>
      </c>
      <c r="R3" s="118" t="s">
        <v>22</v>
      </c>
      <c r="S3" s="122" t="s">
        <v>23</v>
      </c>
      <c r="T3" s="101" t="s">
        <v>22</v>
      </c>
      <c r="U3" s="96" t="s">
        <v>23</v>
      </c>
      <c r="V3" s="101" t="s">
        <v>22</v>
      </c>
      <c r="X3" s="74"/>
      <c r="Y3" s="74"/>
      <c r="Z3" s="124"/>
      <c r="AA3" s="123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4"/>
      <c r="AT3" s="74"/>
      <c r="AU3" s="74"/>
      <c r="AV3" s="74"/>
      <c r="AW3" s="74"/>
      <c r="AX3" s="74"/>
      <c r="AY3" s="74"/>
      <c r="AZ3" s="74"/>
      <c r="BA3" s="74"/>
      <c r="BB3" s="74"/>
      <c r="BC3" s="74"/>
      <c r="BD3" s="74"/>
      <c r="BE3" s="74"/>
      <c r="BF3" s="74"/>
      <c r="BG3" s="74"/>
      <c r="BH3" s="74"/>
      <c r="BI3" s="74"/>
      <c r="BJ3" s="74"/>
      <c r="BK3" s="74"/>
      <c r="BL3" s="74"/>
      <c r="BM3" s="74"/>
      <c r="BN3" s="74"/>
      <c r="BO3" s="74"/>
      <c r="BP3" s="74"/>
      <c r="BQ3" s="74"/>
      <c r="BR3" s="74"/>
      <c r="BS3" s="74"/>
      <c r="BT3" s="74"/>
      <c r="BU3" s="74"/>
      <c r="BV3" s="74"/>
      <c r="BW3" s="74"/>
      <c r="BX3" s="74"/>
      <c r="BY3" s="74"/>
      <c r="BZ3" s="74"/>
    </row>
    <row r="4" spans="1:78" ht="15" thickBot="1" x14ac:dyDescent="0.35">
      <c r="E4" s="109">
        <f>AVERAGE(E7:E14)</f>
        <v>6.8509606141573351E-2</v>
      </c>
      <c r="F4" s="110">
        <f>AVERAGE(F7:F14)</f>
        <v>2.577382542433412E-3</v>
      </c>
      <c r="G4" s="109">
        <f t="shared" ref="G4:N4" si="0">AVERAGE(G7:G14)</f>
        <v>6.6413407171841687E-2</v>
      </c>
      <c r="H4" s="110">
        <f t="shared" si="0"/>
        <v>2.0039258492379861E-3</v>
      </c>
      <c r="I4" s="109">
        <f t="shared" si="0"/>
        <v>6.3653786278897617E-2</v>
      </c>
      <c r="J4" s="110">
        <f t="shared" si="0"/>
        <v>2.2065196920535079E-3</v>
      </c>
      <c r="K4" s="109">
        <f t="shared" si="0"/>
        <v>6.3391915133093654E-2</v>
      </c>
      <c r="L4" s="110">
        <f t="shared" si="0"/>
        <v>1.8447746263169792E-3</v>
      </c>
      <c r="M4" s="109">
        <f t="shared" si="0"/>
        <v>6.433949861616714E-2</v>
      </c>
      <c r="N4" s="110">
        <f t="shared" si="0"/>
        <v>2.2551443384199459E-3</v>
      </c>
      <c r="Q4" s="109">
        <f>AVERAGE(Q7:Q14)</f>
        <v>6.8509606141573351E-2</v>
      </c>
      <c r="R4" s="110">
        <f>AVERAGE(R7:R14)</f>
        <v>2.577382542433412E-3</v>
      </c>
      <c r="S4" s="119">
        <f t="shared" ref="S4:V4" si="1">AVERAGE(S7:S14)</f>
        <v>7.0441963878319663E-2</v>
      </c>
      <c r="T4" s="110">
        <f>AVERAGE(T7:T14)</f>
        <v>2.6750000000000003E-3</v>
      </c>
      <c r="U4" s="109">
        <f t="shared" si="1"/>
        <v>6.7466856445908469E-2</v>
      </c>
      <c r="V4" s="110">
        <f t="shared" si="1"/>
        <v>2.3874999999999999E-3</v>
      </c>
      <c r="X4" s="74"/>
      <c r="Y4" s="74"/>
      <c r="Z4" s="124"/>
      <c r="AA4" s="123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4"/>
      <c r="AP4" s="74"/>
      <c r="AQ4" s="74"/>
      <c r="AR4" s="74"/>
      <c r="AS4" s="74"/>
      <c r="AT4" s="74"/>
      <c r="AU4" s="74"/>
      <c r="AV4" s="74"/>
      <c r="AW4" s="74"/>
      <c r="AX4" s="74"/>
      <c r="AY4" s="74"/>
      <c r="AZ4" s="74"/>
      <c r="BA4" s="74"/>
      <c r="BB4" s="74"/>
      <c r="BC4" s="74"/>
      <c r="BD4" s="74"/>
      <c r="BE4" s="74"/>
      <c r="BF4" s="74"/>
      <c r="BG4" s="74"/>
      <c r="BH4" s="74"/>
      <c r="BI4" s="74"/>
      <c r="BJ4" s="74"/>
      <c r="BK4" s="74"/>
      <c r="BL4" s="74"/>
      <c r="BM4" s="74"/>
      <c r="BN4" s="74"/>
      <c r="BO4" s="74"/>
      <c r="BP4" s="74"/>
      <c r="BQ4" s="74"/>
      <c r="BR4" s="74"/>
      <c r="BS4" s="74"/>
      <c r="BT4" s="74"/>
      <c r="BU4" s="74"/>
      <c r="BV4" s="74"/>
      <c r="BW4" s="74"/>
      <c r="BX4" s="74"/>
      <c r="BY4" s="74"/>
      <c r="BZ4" s="74"/>
    </row>
    <row r="5" spans="1:78" s="14" customFormat="1" ht="15" thickBot="1" x14ac:dyDescent="0.35">
      <c r="A5" s="97"/>
      <c r="E5" s="102" t="s">
        <v>26</v>
      </c>
      <c r="F5" s="103"/>
      <c r="G5" s="102" t="s">
        <v>27</v>
      </c>
      <c r="H5" s="103"/>
      <c r="I5" s="104" t="s">
        <v>7</v>
      </c>
      <c r="J5" s="105"/>
      <c r="K5" s="104" t="s">
        <v>8</v>
      </c>
      <c r="L5" s="105"/>
      <c r="M5" s="104" t="s">
        <v>9</v>
      </c>
      <c r="N5" s="105"/>
      <c r="P5" s="98"/>
      <c r="Q5" s="120" t="s">
        <v>30</v>
      </c>
      <c r="R5" s="121"/>
      <c r="S5" s="120" t="s">
        <v>31</v>
      </c>
      <c r="T5" s="121"/>
      <c r="U5" s="120" t="s">
        <v>32</v>
      </c>
      <c r="V5" s="121"/>
      <c r="X5" s="74"/>
      <c r="Y5" s="74"/>
      <c r="Z5" s="124"/>
      <c r="AA5" s="123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4"/>
      <c r="AM5" s="74"/>
      <c r="AN5" s="74"/>
      <c r="AO5" s="74"/>
      <c r="AP5" s="74"/>
      <c r="AQ5" s="74"/>
      <c r="AR5" s="74"/>
      <c r="AS5" s="74"/>
      <c r="AT5" s="74"/>
      <c r="AU5" s="74"/>
      <c r="AV5" s="74"/>
      <c r="AW5" s="74"/>
      <c r="AX5" s="74"/>
      <c r="AY5" s="74"/>
      <c r="AZ5" s="74"/>
      <c r="BA5" s="74"/>
      <c r="BB5" s="74"/>
      <c r="BC5" s="74"/>
      <c r="BD5" s="74"/>
      <c r="BE5" s="74"/>
      <c r="BF5" s="74"/>
      <c r="BG5" s="74"/>
      <c r="BH5" s="74"/>
      <c r="BI5" s="74"/>
      <c r="BJ5" s="74"/>
      <c r="BK5" s="74"/>
      <c r="BL5" s="74"/>
      <c r="BM5" s="74"/>
      <c r="BN5" s="74"/>
      <c r="BO5" s="74"/>
      <c r="BP5" s="74"/>
      <c r="BQ5" s="74"/>
      <c r="BR5" s="74"/>
      <c r="BS5" s="74"/>
      <c r="BT5" s="74"/>
      <c r="BU5" s="74"/>
      <c r="BV5" s="74"/>
      <c r="BW5" s="74"/>
      <c r="BX5" s="74"/>
      <c r="BY5" s="74"/>
      <c r="BZ5" s="74"/>
    </row>
    <row r="6" spans="1:78" x14ac:dyDescent="0.3">
      <c r="D6" s="99" t="s">
        <v>24</v>
      </c>
      <c r="E6" s="96" t="s">
        <v>23</v>
      </c>
      <c r="F6" s="101" t="s">
        <v>22</v>
      </c>
      <c r="G6" s="96" t="s">
        <v>23</v>
      </c>
      <c r="H6" s="101" t="s">
        <v>22</v>
      </c>
      <c r="I6" s="96" t="s">
        <v>23</v>
      </c>
      <c r="J6" s="101" t="s">
        <v>22</v>
      </c>
      <c r="K6" s="96" t="s">
        <v>23</v>
      </c>
      <c r="L6" s="101" t="s">
        <v>22</v>
      </c>
      <c r="M6" s="96" t="s">
        <v>23</v>
      </c>
      <c r="N6" s="101" t="s">
        <v>22</v>
      </c>
      <c r="Q6" s="96" t="s">
        <v>23</v>
      </c>
      <c r="R6" s="101" t="s">
        <v>22</v>
      </c>
      <c r="S6" s="96" t="s">
        <v>23</v>
      </c>
      <c r="T6" s="101" t="s">
        <v>22</v>
      </c>
      <c r="U6" s="96" t="s">
        <v>23</v>
      </c>
      <c r="V6" s="101" t="s">
        <v>22</v>
      </c>
      <c r="X6" s="74"/>
      <c r="Y6" s="74"/>
      <c r="Z6" s="124"/>
      <c r="AA6" s="123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4"/>
      <c r="AQ6" s="74"/>
      <c r="AR6" s="74"/>
      <c r="AS6" s="74"/>
      <c r="AT6" s="74"/>
      <c r="AU6" s="74"/>
      <c r="AV6" s="74"/>
      <c r="AW6" s="74"/>
      <c r="AX6" s="74"/>
      <c r="AY6" s="74"/>
      <c r="AZ6" s="74"/>
      <c r="BA6" s="74"/>
      <c r="BB6" s="74"/>
      <c r="BC6" s="74"/>
      <c r="BD6" s="74"/>
      <c r="BE6" s="74"/>
      <c r="BF6" s="74"/>
      <c r="BG6" s="74"/>
      <c r="BH6" s="74"/>
      <c r="BI6" s="74"/>
      <c r="BJ6" s="74"/>
      <c r="BK6" s="74"/>
      <c r="BL6" s="74"/>
      <c r="BM6" s="74"/>
      <c r="BN6" s="74"/>
      <c r="BO6" s="74"/>
      <c r="BP6" s="74"/>
      <c r="BQ6" s="74"/>
      <c r="BR6" s="74"/>
      <c r="BS6" s="74"/>
      <c r="BT6" s="74"/>
      <c r="BU6" s="74"/>
      <c r="BV6" s="74"/>
      <c r="BW6" s="74"/>
      <c r="BX6" s="74"/>
      <c r="BY6" s="74"/>
      <c r="BZ6" s="74"/>
    </row>
    <row r="7" spans="1:78" x14ac:dyDescent="0.3">
      <c r="D7" s="100" t="s">
        <v>1</v>
      </c>
      <c r="E7" s="109">
        <v>7.1171719918265999E-2</v>
      </c>
      <c r="F7" s="110">
        <v>2.8387050236733657E-3</v>
      </c>
      <c r="G7" s="109">
        <v>6.9261468130606102E-2</v>
      </c>
      <c r="H7" s="110">
        <v>3.1609780711316072E-3</v>
      </c>
      <c r="I7" s="109">
        <v>6.0533150992972171E-2</v>
      </c>
      <c r="J7" s="110">
        <v>3.2320491565808701E-3</v>
      </c>
      <c r="K7" s="109">
        <v>6.5575501135753361E-2</v>
      </c>
      <c r="L7" s="110">
        <v>2.1523776200684098E-3</v>
      </c>
      <c r="M7" s="109">
        <v>6.59E-2</v>
      </c>
      <c r="N7" s="110">
        <v>3.8550942051523165E-3</v>
      </c>
      <c r="Q7" s="109">
        <v>7.1171719918265999E-2</v>
      </c>
      <c r="R7" s="110">
        <v>2.8387050236733657E-3</v>
      </c>
      <c r="S7" s="119">
        <v>7.208262276923065E-2</v>
      </c>
      <c r="T7" s="110">
        <v>3.8999999999999998E-3</v>
      </c>
      <c r="U7" s="109">
        <v>6.3985857468264629E-2</v>
      </c>
      <c r="V7" s="110">
        <v>2.8999999999999998E-3</v>
      </c>
      <c r="X7" s="74"/>
      <c r="Y7" s="74"/>
      <c r="Z7" s="124"/>
      <c r="AA7" s="123"/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4"/>
      <c r="AQ7" s="74"/>
      <c r="AR7" s="74"/>
      <c r="AS7" s="74"/>
      <c r="AT7" s="74"/>
      <c r="AU7" s="74"/>
      <c r="AV7" s="74"/>
      <c r="AW7" s="74"/>
      <c r="AX7" s="74"/>
      <c r="AY7" s="74"/>
      <c r="AZ7" s="74"/>
      <c r="BA7" s="74"/>
      <c r="BB7" s="74"/>
      <c r="BC7" s="74"/>
      <c r="BD7" s="74"/>
      <c r="BE7" s="74"/>
      <c r="BF7" s="74"/>
      <c r="BG7" s="74"/>
      <c r="BH7" s="74"/>
      <c r="BI7" s="74"/>
      <c r="BJ7" s="74"/>
      <c r="BK7" s="74"/>
      <c r="BL7" s="74"/>
      <c r="BM7" s="74"/>
      <c r="BN7" s="74"/>
      <c r="BO7" s="74"/>
      <c r="BP7" s="74"/>
      <c r="BQ7" s="74"/>
      <c r="BR7" s="74"/>
      <c r="BS7" s="74"/>
      <c r="BT7" s="74"/>
      <c r="BU7" s="74"/>
      <c r="BV7" s="74"/>
      <c r="BW7" s="74"/>
      <c r="BX7" s="74"/>
      <c r="BY7" s="74"/>
      <c r="BZ7" s="74"/>
    </row>
    <row r="8" spans="1:78" x14ac:dyDescent="0.3">
      <c r="D8" s="100">
        <v>2</v>
      </c>
      <c r="E8" s="109">
        <v>0.13324356770127566</v>
      </c>
      <c r="F8" s="110">
        <v>7.7963460000550011E-3</v>
      </c>
      <c r="G8" s="109">
        <v>0.12709685639683022</v>
      </c>
      <c r="H8" s="110">
        <v>4.1999999999999997E-3</v>
      </c>
      <c r="I8" s="109">
        <v>0.119727871436395</v>
      </c>
      <c r="J8" s="110">
        <v>5.4182815078228997E-3</v>
      </c>
      <c r="K8" s="109">
        <v>0.12262747512804267</v>
      </c>
      <c r="L8" s="110">
        <v>2.1523776200684098E-3</v>
      </c>
      <c r="M8" s="109">
        <v>0.12432718736311482</v>
      </c>
      <c r="N8" s="110">
        <v>5.6020095937786389E-3</v>
      </c>
      <c r="Q8" s="109">
        <v>0.13324356770127566</v>
      </c>
      <c r="R8" s="110">
        <v>7.7963460000550011E-3</v>
      </c>
      <c r="S8" s="119">
        <v>0.13709992225428885</v>
      </c>
      <c r="T8" s="110">
        <v>4.4000000000000003E-3</v>
      </c>
      <c r="U8" s="109">
        <v>0.14042332182527942</v>
      </c>
      <c r="V8" s="110">
        <v>5.7999999999999996E-3</v>
      </c>
      <c r="X8" s="74"/>
      <c r="Y8" s="74"/>
      <c r="Z8" s="124"/>
      <c r="AA8" s="123"/>
      <c r="AB8" s="74"/>
      <c r="AC8" s="74"/>
      <c r="AD8" s="74"/>
      <c r="AE8" s="74"/>
      <c r="AF8" s="74"/>
      <c r="AG8" s="74"/>
      <c r="AH8" s="74"/>
      <c r="AI8" s="74"/>
      <c r="AJ8" s="74"/>
      <c r="AK8" s="74"/>
      <c r="AL8" s="74"/>
      <c r="AM8" s="74"/>
      <c r="AN8" s="74"/>
      <c r="AO8" s="74"/>
      <c r="AP8" s="74"/>
      <c r="AQ8" s="74"/>
      <c r="AR8" s="74"/>
      <c r="AS8" s="74"/>
      <c r="AT8" s="74"/>
      <c r="AU8" s="74"/>
      <c r="AV8" s="74"/>
      <c r="AW8" s="74"/>
      <c r="AX8" s="74"/>
      <c r="AY8" s="74"/>
      <c r="AZ8" s="74"/>
      <c r="BA8" s="74"/>
      <c r="BB8" s="74"/>
      <c r="BC8" s="74"/>
      <c r="BD8" s="74"/>
      <c r="BE8" s="74"/>
      <c r="BF8" s="74"/>
      <c r="BG8" s="74"/>
      <c r="BH8" s="74"/>
      <c r="BI8" s="74"/>
      <c r="BJ8" s="74"/>
      <c r="BK8" s="74"/>
      <c r="BL8" s="74"/>
      <c r="BM8" s="74"/>
      <c r="BN8" s="74"/>
      <c r="BO8" s="74"/>
      <c r="BP8" s="74"/>
      <c r="BQ8" s="74"/>
      <c r="BR8" s="74"/>
      <c r="BS8" s="74"/>
      <c r="BT8" s="74"/>
      <c r="BU8" s="74"/>
      <c r="BV8" s="74"/>
      <c r="BW8" s="74"/>
      <c r="BX8" s="74"/>
      <c r="BY8" s="74"/>
      <c r="BZ8" s="74"/>
    </row>
    <row r="9" spans="1:78" x14ac:dyDescent="0.3">
      <c r="D9" s="100">
        <v>3</v>
      </c>
      <c r="E9" s="109">
        <v>0.11387278985626453</v>
      </c>
      <c r="F9" s="110">
        <v>1E-4</v>
      </c>
      <c r="G9" s="109">
        <v>0.11474149490355211</v>
      </c>
      <c r="H9" s="110">
        <v>2.9999999999999997E-4</v>
      </c>
      <c r="I9" s="109">
        <v>0.11458952496287815</v>
      </c>
      <c r="J9" s="110">
        <v>0</v>
      </c>
      <c r="K9" s="109">
        <v>0.11468509350857722</v>
      </c>
      <c r="L9" s="110">
        <v>1E-4</v>
      </c>
      <c r="M9" s="109">
        <v>0.11510423704545372</v>
      </c>
      <c r="N9" s="110">
        <v>0</v>
      </c>
      <c r="Q9" s="109">
        <v>0.11387278985626453</v>
      </c>
      <c r="R9" s="110">
        <v>1E-4</v>
      </c>
      <c r="S9" s="119">
        <v>0.11497642274900174</v>
      </c>
      <c r="T9" s="110">
        <v>2.9999999999999997E-4</v>
      </c>
      <c r="U9" s="109">
        <v>0.11497642274900174</v>
      </c>
      <c r="V9" s="110">
        <v>1E-4</v>
      </c>
      <c r="X9" s="74"/>
      <c r="Y9" s="74"/>
      <c r="Z9" s="124"/>
      <c r="AA9" s="123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4"/>
      <c r="AQ9" s="74"/>
      <c r="AR9" s="74"/>
      <c r="AS9" s="74"/>
      <c r="AT9" s="74"/>
      <c r="AU9" s="74"/>
      <c r="AV9" s="74"/>
      <c r="AW9" s="74"/>
      <c r="AX9" s="74"/>
      <c r="AY9" s="74"/>
      <c r="AZ9" s="74"/>
      <c r="BA9" s="74"/>
      <c r="BB9" s="74"/>
      <c r="BC9" s="74"/>
      <c r="BD9" s="74"/>
      <c r="BE9" s="74"/>
      <c r="BF9" s="74"/>
      <c r="BG9" s="74"/>
      <c r="BH9" s="74"/>
      <c r="BI9" s="74"/>
      <c r="BJ9" s="74"/>
      <c r="BK9" s="74"/>
      <c r="BL9" s="74"/>
      <c r="BM9" s="74"/>
      <c r="BN9" s="74"/>
      <c r="BO9" s="74"/>
      <c r="BP9" s="74"/>
      <c r="BQ9" s="74"/>
      <c r="BR9" s="74"/>
      <c r="BS9" s="74"/>
      <c r="BT9" s="74"/>
      <c r="BU9" s="74"/>
      <c r="BV9" s="74"/>
      <c r="BW9" s="74"/>
      <c r="BX9" s="74"/>
      <c r="BY9" s="74"/>
      <c r="BZ9" s="74"/>
    </row>
    <row r="10" spans="1:78" x14ac:dyDescent="0.3">
      <c r="D10" s="100">
        <v>5.16</v>
      </c>
      <c r="E10" s="109">
        <v>3.2219966940906432E-2</v>
      </c>
      <c r="F10" s="110">
        <v>1.8783954486622074E-3</v>
      </c>
      <c r="G10" s="109">
        <v>3.0420182202427943E-2</v>
      </c>
      <c r="H10" s="110">
        <v>1.0479637510093938E-3</v>
      </c>
      <c r="I10" s="109">
        <v>3.0358041067336146E-2</v>
      </c>
      <c r="J10" s="110">
        <v>8.0304377937365126E-4</v>
      </c>
      <c r="K10" s="109">
        <v>3.0682083817323059E-2</v>
      </c>
      <c r="L10" s="110">
        <v>1.367621165253282E-3</v>
      </c>
      <c r="M10" s="109">
        <v>3.1498888249525715E-2</v>
      </c>
      <c r="N10" s="110">
        <v>1.3870894391128253E-3</v>
      </c>
      <c r="Q10" s="109">
        <v>3.2219966940906432E-2</v>
      </c>
      <c r="R10" s="110">
        <v>1.8783954486622074E-3</v>
      </c>
      <c r="S10" s="119">
        <v>3.1576473029682382E-2</v>
      </c>
      <c r="T10" s="110">
        <v>2.2000000000000001E-3</v>
      </c>
      <c r="U10" s="109">
        <v>3.3939747786569947E-2</v>
      </c>
      <c r="V10" s="110">
        <v>1.1000000000000001E-3</v>
      </c>
      <c r="X10" s="74"/>
      <c r="Y10" s="74"/>
      <c r="Z10" s="124"/>
      <c r="AA10" s="123"/>
      <c r="AB10" s="74"/>
      <c r="AC10" s="74"/>
      <c r="AD10" s="74"/>
      <c r="AE10" s="74"/>
      <c r="AF10" s="74"/>
      <c r="AG10" s="74"/>
      <c r="AH10" s="74"/>
      <c r="AI10" s="74"/>
      <c r="AJ10" s="74"/>
      <c r="AK10" s="74"/>
      <c r="AL10" s="74"/>
      <c r="AM10" s="74"/>
      <c r="AN10" s="74"/>
      <c r="AO10" s="74"/>
      <c r="AP10" s="74"/>
      <c r="AQ10" s="74"/>
      <c r="AR10" s="74"/>
      <c r="AS10" s="74"/>
      <c r="AT10" s="74"/>
      <c r="AU10" s="74"/>
      <c r="AV10" s="74"/>
      <c r="AW10" s="74"/>
      <c r="AX10" s="74"/>
      <c r="AY10" s="74"/>
      <c r="AZ10" s="74"/>
      <c r="BA10" s="74"/>
      <c r="BB10" s="74"/>
      <c r="BC10" s="74"/>
      <c r="BD10" s="74"/>
      <c r="BE10" s="74"/>
      <c r="BF10" s="74"/>
      <c r="BG10" s="74"/>
      <c r="BH10" s="74"/>
      <c r="BI10" s="74"/>
      <c r="BJ10" s="74"/>
      <c r="BK10" s="74"/>
      <c r="BL10" s="74"/>
      <c r="BM10" s="74"/>
      <c r="BN10" s="74"/>
      <c r="BO10" s="74"/>
      <c r="BP10" s="74"/>
      <c r="BQ10" s="74"/>
      <c r="BR10" s="74"/>
      <c r="BS10" s="74"/>
      <c r="BT10" s="74"/>
      <c r="BU10" s="74"/>
      <c r="BV10" s="74"/>
      <c r="BW10" s="74"/>
      <c r="BX10" s="74"/>
      <c r="BY10" s="74"/>
      <c r="BZ10" s="74"/>
    </row>
    <row r="11" spans="1:78" x14ac:dyDescent="0.3">
      <c r="D11" s="100">
        <v>6.16</v>
      </c>
      <c r="E11" s="109">
        <v>2.4574341917225292E-2</v>
      </c>
      <c r="F11" s="110">
        <v>1.4546126619133526E-3</v>
      </c>
      <c r="G11" s="109">
        <v>2.5190762199966642E-2</v>
      </c>
      <c r="H11" s="110">
        <v>8.977713258369309E-4</v>
      </c>
      <c r="I11" s="109">
        <v>2.3304198181578271E-2</v>
      </c>
      <c r="J11" s="110">
        <v>1.0927963129019537E-3</v>
      </c>
      <c r="K11" s="109">
        <v>2.1659283122274879E-2</v>
      </c>
      <c r="L11" s="110">
        <v>1.171205097118444E-3</v>
      </c>
      <c r="M11" s="109">
        <v>2.4113967630517829E-2</v>
      </c>
      <c r="N11" s="110">
        <v>1.0662102398479685E-3</v>
      </c>
      <c r="Q11" s="109">
        <v>2.4574341917225292E-2</v>
      </c>
      <c r="R11" s="110">
        <v>1.4546126619133526E-3</v>
      </c>
      <c r="S11" s="119">
        <v>2.4728104282420119E-2</v>
      </c>
      <c r="T11" s="110">
        <v>8.0000000000000004E-4</v>
      </c>
      <c r="U11" s="109">
        <v>2.3581827751515013E-2</v>
      </c>
      <c r="V11" s="110">
        <v>1.1999999999999999E-3</v>
      </c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4"/>
      <c r="AX11" s="74"/>
      <c r="AY11" s="74"/>
      <c r="AZ11" s="74"/>
      <c r="BA11" s="74"/>
      <c r="BB11" s="74"/>
      <c r="BC11" s="74"/>
      <c r="BD11" s="74"/>
      <c r="BE11" s="74"/>
      <c r="BF11" s="74"/>
      <c r="BG11" s="74"/>
      <c r="BH11" s="74"/>
      <c r="BI11" s="74"/>
      <c r="BJ11" s="74"/>
      <c r="BK11" s="74"/>
      <c r="BL11" s="74"/>
      <c r="BM11" s="74"/>
      <c r="BN11" s="74"/>
      <c r="BO11" s="74"/>
      <c r="BP11" s="74"/>
      <c r="BQ11" s="74"/>
      <c r="BR11" s="74"/>
      <c r="BS11" s="74"/>
      <c r="BT11" s="74"/>
      <c r="BU11" s="74"/>
      <c r="BV11" s="74"/>
      <c r="BW11" s="74"/>
      <c r="BX11" s="74"/>
      <c r="BY11" s="74"/>
      <c r="BZ11" s="74"/>
    </row>
    <row r="12" spans="1:78" x14ac:dyDescent="0.3">
      <c r="D12" s="100" t="s">
        <v>25</v>
      </c>
      <c r="E12" s="109">
        <v>4.9799532376656901E-2</v>
      </c>
      <c r="F12" s="110">
        <v>1.6638074092586953E-3</v>
      </c>
      <c r="G12" s="109">
        <v>4.7862167287375391E-2</v>
      </c>
      <c r="H12" s="110">
        <v>1.594704984570701E-3</v>
      </c>
      <c r="I12" s="109">
        <v>4.901346390132031E-2</v>
      </c>
      <c r="J12" s="110">
        <v>1.490054849172133E-3</v>
      </c>
      <c r="K12" s="109">
        <v>3.5383662036533925E-2</v>
      </c>
      <c r="L12" s="110">
        <v>2.3628448108513316E-3</v>
      </c>
      <c r="M12" s="109">
        <v>3.5399493437407809E-2</v>
      </c>
      <c r="N12" s="110">
        <v>2.9375484614129897E-3</v>
      </c>
      <c r="Q12" s="109">
        <v>4.9799532376656901E-2</v>
      </c>
      <c r="R12" s="110">
        <v>1.6638074092586953E-3</v>
      </c>
      <c r="S12" s="119">
        <v>5.4246696758309405E-2</v>
      </c>
      <c r="T12" s="110">
        <v>3.0999999999999999E-3</v>
      </c>
      <c r="U12" s="109">
        <v>3.6186910135412392E-2</v>
      </c>
      <c r="V12" s="110">
        <v>1.9E-3</v>
      </c>
      <c r="X12" s="74"/>
      <c r="Y12" s="74"/>
      <c r="Z12" s="111"/>
      <c r="AA12" s="111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/>
      <c r="AN12" s="74"/>
      <c r="AO12" s="74"/>
      <c r="AP12" s="74"/>
      <c r="AQ12" s="74"/>
      <c r="AR12" s="74"/>
      <c r="AS12" s="74"/>
      <c r="AT12" s="74"/>
      <c r="AU12" s="74"/>
      <c r="AV12" s="74"/>
      <c r="AW12" s="74"/>
      <c r="AX12" s="74"/>
      <c r="AY12" s="74"/>
      <c r="AZ12" s="74"/>
      <c r="BA12" s="74"/>
      <c r="BB12" s="74"/>
      <c r="BC12" s="74"/>
      <c r="BD12" s="74"/>
      <c r="BE12" s="74"/>
      <c r="BF12" s="74"/>
      <c r="BG12" s="74"/>
      <c r="BH12" s="74"/>
      <c r="BI12" s="74"/>
      <c r="BJ12" s="74"/>
      <c r="BK12" s="74"/>
      <c r="BL12" s="74"/>
      <c r="BM12" s="74"/>
      <c r="BN12" s="74"/>
      <c r="BO12" s="74"/>
      <c r="BP12" s="74"/>
      <c r="BQ12" s="74"/>
      <c r="BR12" s="74"/>
      <c r="BS12" s="74"/>
      <c r="BT12" s="74"/>
      <c r="BU12" s="74"/>
      <c r="BV12" s="74"/>
      <c r="BW12" s="74"/>
      <c r="BX12" s="74"/>
      <c r="BY12" s="74"/>
      <c r="BZ12" s="74"/>
    </row>
    <row r="13" spans="1:78" x14ac:dyDescent="0.3">
      <c r="D13" s="100">
        <v>9</v>
      </c>
      <c r="E13" s="109">
        <v>1.2824641225883986E-2</v>
      </c>
      <c r="F13" s="110">
        <v>8.7876718826680647E-4</v>
      </c>
      <c r="G13" s="109">
        <v>6.8122581933000798E-3</v>
      </c>
      <c r="H13" s="110">
        <v>8.840673015710047E-4</v>
      </c>
      <c r="I13" s="109">
        <v>9.3526082712049024E-3</v>
      </c>
      <c r="J13" s="110">
        <v>3.3848699388064471E-4</v>
      </c>
      <c r="K13" s="109">
        <v>8.2863197451521192E-3</v>
      </c>
      <c r="L13" s="110">
        <v>1.2517706971759549E-3</v>
      </c>
      <c r="M13" s="109">
        <v>8.923976360446239E-3</v>
      </c>
      <c r="N13" s="110">
        <v>4.1095643390616472E-4</v>
      </c>
      <c r="Q13" s="109">
        <v>1.2824641225883986E-2</v>
      </c>
      <c r="R13" s="110">
        <v>8.7876718826680647E-4</v>
      </c>
      <c r="S13" s="119">
        <v>8.139878752033149E-3</v>
      </c>
      <c r="T13" s="110">
        <v>1.1000000000000001E-3</v>
      </c>
      <c r="U13" s="109">
        <v>8.4607866331509619E-3</v>
      </c>
      <c r="V13" s="110">
        <v>1E-3</v>
      </c>
      <c r="X13" s="74"/>
      <c r="Y13" s="74"/>
      <c r="Z13" s="111"/>
      <c r="AA13" s="111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  <c r="AO13" s="74"/>
      <c r="AP13" s="74"/>
      <c r="AQ13" s="74"/>
      <c r="AR13" s="74"/>
      <c r="AS13" s="74"/>
      <c r="AT13" s="74"/>
      <c r="AU13" s="74"/>
      <c r="AV13" s="74"/>
      <c r="AW13" s="74"/>
      <c r="AX13" s="74"/>
      <c r="AY13" s="74"/>
      <c r="AZ13" s="74"/>
      <c r="BA13" s="74"/>
      <c r="BB13" s="74"/>
      <c r="BC13" s="74"/>
      <c r="BD13" s="74"/>
      <c r="BE13" s="74"/>
      <c r="BF13" s="74"/>
      <c r="BG13" s="74"/>
      <c r="BH13" s="74"/>
      <c r="BI13" s="74"/>
      <c r="BJ13" s="74"/>
      <c r="BK13" s="74"/>
      <c r="BL13" s="74"/>
      <c r="BM13" s="74"/>
      <c r="BN13" s="74"/>
      <c r="BO13" s="74"/>
      <c r="BP13" s="74"/>
      <c r="BQ13" s="74"/>
      <c r="BR13" s="74"/>
      <c r="BS13" s="74"/>
      <c r="BT13" s="74"/>
      <c r="BU13" s="74"/>
      <c r="BV13" s="74"/>
      <c r="BW13" s="74"/>
      <c r="BX13" s="74"/>
      <c r="BY13" s="74"/>
      <c r="BZ13" s="74"/>
    </row>
    <row r="14" spans="1:78" s="112" customFormat="1" ht="15" thickBot="1" x14ac:dyDescent="0.35">
      <c r="D14" s="113">
        <v>10</v>
      </c>
      <c r="E14" s="114">
        <v>0.110370289196108</v>
      </c>
      <c r="F14" s="115">
        <v>4.0084266076378669E-3</v>
      </c>
      <c r="G14" s="114">
        <v>0.109922068060675</v>
      </c>
      <c r="H14" s="115">
        <v>3.9459213597842499E-3</v>
      </c>
      <c r="I14" s="114">
        <v>0.102351431417496</v>
      </c>
      <c r="J14" s="115">
        <v>5.277444936695911E-3</v>
      </c>
      <c r="K14" s="114">
        <v>0.108235902571092</v>
      </c>
      <c r="L14" s="115">
        <v>4.1999999999999997E-3</v>
      </c>
      <c r="M14" s="114">
        <v>0.109448238842871</v>
      </c>
      <c r="N14" s="115">
        <v>2.7822463341486614E-3</v>
      </c>
      <c r="P14" s="116"/>
      <c r="Q14" s="114">
        <v>0.110370289196108</v>
      </c>
      <c r="R14" s="115">
        <v>4.0084266076378669E-3</v>
      </c>
      <c r="S14" s="125">
        <v>0.12068559043159099</v>
      </c>
      <c r="T14" s="115">
        <v>5.5999999999999999E-3</v>
      </c>
      <c r="U14" s="114">
        <v>0.11817997721807365</v>
      </c>
      <c r="V14" s="115">
        <v>5.1000000000000004E-3</v>
      </c>
      <c r="X14" s="74"/>
      <c r="Y14" s="74"/>
      <c r="Z14" s="111"/>
      <c r="AA14" s="111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/>
      <c r="AN14" s="74"/>
      <c r="AO14" s="74"/>
      <c r="AP14" s="74"/>
      <c r="AQ14" s="74"/>
      <c r="AR14" s="74"/>
      <c r="AS14" s="74"/>
      <c r="AT14" s="74"/>
      <c r="AU14" s="74"/>
      <c r="AV14" s="74"/>
      <c r="AW14" s="74"/>
      <c r="AX14" s="74"/>
      <c r="AY14" s="74"/>
      <c r="AZ14" s="74"/>
      <c r="BA14" s="74"/>
      <c r="BB14" s="74"/>
      <c r="BC14" s="74"/>
      <c r="BD14" s="74"/>
      <c r="BE14" s="74"/>
      <c r="BF14" s="74"/>
      <c r="BG14" s="74"/>
      <c r="BH14" s="74"/>
      <c r="BI14" s="74"/>
      <c r="BJ14" s="74"/>
      <c r="BK14" s="74"/>
      <c r="BL14" s="74"/>
      <c r="BM14" s="74"/>
      <c r="BN14" s="74"/>
      <c r="BO14" s="74"/>
      <c r="BP14" s="74"/>
      <c r="BQ14" s="74"/>
      <c r="BR14" s="74"/>
      <c r="BS14" s="74"/>
      <c r="BT14" s="74"/>
      <c r="BU14" s="74"/>
      <c r="BV14" s="74"/>
      <c r="BW14" s="74"/>
      <c r="BX14" s="74"/>
      <c r="BY14" s="74"/>
      <c r="BZ14" s="74"/>
    </row>
    <row r="15" spans="1:78" s="74" customFormat="1" x14ac:dyDescent="0.3">
      <c r="P15" s="3"/>
      <c r="S15" s="111"/>
      <c r="T15" s="111"/>
      <c r="U15" s="111"/>
      <c r="V15" s="110"/>
      <c r="Z15" s="111"/>
      <c r="AA15" s="111"/>
    </row>
    <row r="16" spans="1:78" s="74" customFormat="1" x14ac:dyDescent="0.3">
      <c r="E16" s="111"/>
      <c r="F16" s="111"/>
      <c r="G16" s="111"/>
      <c r="H16" s="111"/>
      <c r="K16" s="111"/>
      <c r="L16" s="111"/>
      <c r="P16" s="3"/>
      <c r="V16" s="3"/>
      <c r="Z16" s="111"/>
      <c r="AA16" s="111"/>
    </row>
    <row r="17" spans="5:27" s="74" customFormat="1" x14ac:dyDescent="0.3">
      <c r="E17" s="111"/>
      <c r="F17" s="111"/>
      <c r="G17" s="111"/>
      <c r="H17" s="111"/>
      <c r="K17" s="111"/>
      <c r="L17" s="111"/>
      <c r="P17" s="3"/>
      <c r="V17" s="3"/>
      <c r="Z17" s="109"/>
      <c r="AA17" s="109"/>
    </row>
    <row r="18" spans="5:27" s="74" customFormat="1" x14ac:dyDescent="0.3">
      <c r="E18" s="111"/>
      <c r="F18" s="111"/>
      <c r="G18" s="111"/>
      <c r="H18" s="111"/>
      <c r="K18" s="111"/>
      <c r="L18" s="111"/>
      <c r="P18" s="3"/>
      <c r="V18" s="3"/>
      <c r="Z18" s="109"/>
      <c r="AA18" s="109"/>
    </row>
    <row r="19" spans="5:27" s="74" customFormat="1" x14ac:dyDescent="0.3">
      <c r="E19" s="111"/>
      <c r="F19" s="111"/>
      <c r="G19" s="111"/>
      <c r="H19" s="111"/>
      <c r="K19" s="111"/>
      <c r="L19" s="111"/>
      <c r="P19" s="3"/>
      <c r="V19" s="3"/>
      <c r="Z19" s="109"/>
      <c r="AA19" s="109"/>
    </row>
    <row r="20" spans="5:27" s="74" customFormat="1" x14ac:dyDescent="0.3">
      <c r="E20" s="111"/>
      <c r="F20" s="111"/>
      <c r="G20" s="111"/>
      <c r="H20" s="111"/>
      <c r="K20" s="111"/>
      <c r="L20" s="111"/>
      <c r="P20" s="3"/>
      <c r="V20" s="3"/>
    </row>
    <row r="21" spans="5:27" s="74" customFormat="1" x14ac:dyDescent="0.3">
      <c r="E21" s="111"/>
      <c r="F21" s="111"/>
      <c r="G21" s="111"/>
      <c r="H21" s="111"/>
      <c r="K21" s="111"/>
      <c r="L21" s="111"/>
      <c r="P21" s="3"/>
      <c r="V21" s="3"/>
    </row>
    <row r="22" spans="5:27" s="74" customFormat="1" x14ac:dyDescent="0.3">
      <c r="E22" s="111"/>
      <c r="F22" s="111"/>
      <c r="G22" s="111"/>
      <c r="H22" s="111"/>
      <c r="K22" s="111"/>
      <c r="L22" s="111"/>
      <c r="P22" s="3"/>
      <c r="V22" s="3"/>
    </row>
    <row r="23" spans="5:27" s="74" customFormat="1" x14ac:dyDescent="0.3">
      <c r="E23" s="111"/>
      <c r="F23" s="111"/>
      <c r="G23" s="111"/>
      <c r="H23" s="111"/>
      <c r="K23" s="111"/>
      <c r="L23" s="111"/>
      <c r="P23" s="3"/>
      <c r="V23" s="3"/>
    </row>
    <row r="24" spans="5:27" s="74" customFormat="1" x14ac:dyDescent="0.3">
      <c r="P24" s="3"/>
      <c r="V24" s="3"/>
    </row>
    <row r="25" spans="5:27" s="74" customFormat="1" x14ac:dyDescent="0.3">
      <c r="P25" s="3"/>
      <c r="V25" s="3"/>
    </row>
    <row r="26" spans="5:27" s="74" customFormat="1" x14ac:dyDescent="0.3">
      <c r="P26" s="3"/>
      <c r="V26" s="3"/>
    </row>
    <row r="27" spans="5:27" s="74" customFormat="1" x14ac:dyDescent="0.3">
      <c r="P27" s="3"/>
      <c r="V27" s="3"/>
    </row>
    <row r="28" spans="5:27" s="74" customFormat="1" x14ac:dyDescent="0.3">
      <c r="P28" s="3"/>
      <c r="V28" s="3"/>
    </row>
    <row r="29" spans="5:27" s="74" customFormat="1" x14ac:dyDescent="0.3">
      <c r="P29" s="3"/>
      <c r="V29" s="3"/>
    </row>
    <row r="30" spans="5:27" s="74" customFormat="1" x14ac:dyDescent="0.3">
      <c r="P30" s="3"/>
      <c r="V30" s="3"/>
    </row>
    <row r="31" spans="5:27" s="74" customFormat="1" x14ac:dyDescent="0.3">
      <c r="P31" s="3"/>
      <c r="V31" s="3"/>
    </row>
    <row r="32" spans="5:27" s="74" customFormat="1" x14ac:dyDescent="0.3">
      <c r="P32" s="3"/>
      <c r="V32" s="3"/>
    </row>
    <row r="33" spans="16:22" s="74" customFormat="1" x14ac:dyDescent="0.3">
      <c r="P33" s="3"/>
      <c r="V33" s="3"/>
    </row>
    <row r="34" spans="16:22" s="74" customFormat="1" x14ac:dyDescent="0.3">
      <c r="P34" s="3"/>
      <c r="V34" s="3"/>
    </row>
    <row r="35" spans="16:22" s="74" customFormat="1" x14ac:dyDescent="0.3">
      <c r="P35" s="3"/>
      <c r="V35" s="3"/>
    </row>
    <row r="36" spans="16:22" s="74" customFormat="1" x14ac:dyDescent="0.3">
      <c r="P36" s="3"/>
      <c r="V36" s="3"/>
    </row>
    <row r="37" spans="16:22" s="74" customFormat="1" x14ac:dyDescent="0.3">
      <c r="P37" s="3"/>
      <c r="V37" s="3"/>
    </row>
    <row r="38" spans="16:22" s="74" customFormat="1" x14ac:dyDescent="0.3">
      <c r="P38" s="3"/>
      <c r="V38" s="3"/>
    </row>
    <row r="39" spans="16:22" s="74" customFormat="1" x14ac:dyDescent="0.3">
      <c r="P39" s="3"/>
      <c r="V39" s="3"/>
    </row>
    <row r="40" spans="16:22" s="74" customFormat="1" x14ac:dyDescent="0.3">
      <c r="P40" s="3"/>
      <c r="V40" s="3"/>
    </row>
    <row r="41" spans="16:22" s="74" customFormat="1" x14ac:dyDescent="0.3">
      <c r="P41" s="3"/>
      <c r="V41" s="3"/>
    </row>
    <row r="42" spans="16:22" s="74" customFormat="1" x14ac:dyDescent="0.3">
      <c r="P42" s="3"/>
      <c r="V42" s="3"/>
    </row>
    <row r="43" spans="16:22" s="74" customFormat="1" x14ac:dyDescent="0.3">
      <c r="P43" s="3"/>
      <c r="V43" s="3"/>
    </row>
    <row r="44" spans="16:22" s="74" customFormat="1" x14ac:dyDescent="0.3">
      <c r="P44" s="3"/>
      <c r="V44" s="3"/>
    </row>
    <row r="45" spans="16:22" s="74" customFormat="1" x14ac:dyDescent="0.3">
      <c r="P45" s="3"/>
      <c r="V45" s="3"/>
    </row>
    <row r="46" spans="16:22" s="74" customFormat="1" x14ac:dyDescent="0.3">
      <c r="P46" s="3"/>
      <c r="V46" s="3"/>
    </row>
    <row r="47" spans="16:22" s="74" customFormat="1" x14ac:dyDescent="0.3">
      <c r="P47" s="3"/>
      <c r="V47" s="3"/>
    </row>
    <row r="48" spans="16:22" s="74" customFormat="1" x14ac:dyDescent="0.3">
      <c r="P48" s="3"/>
      <c r="V48" s="3"/>
    </row>
    <row r="49" spans="16:22" s="74" customFormat="1" x14ac:dyDescent="0.3">
      <c r="P49" s="3"/>
      <c r="V49" s="3"/>
    </row>
    <row r="50" spans="16:22" s="74" customFormat="1" x14ac:dyDescent="0.3">
      <c r="P50" s="3"/>
      <c r="V50" s="3"/>
    </row>
    <row r="51" spans="16:22" s="74" customFormat="1" x14ac:dyDescent="0.3">
      <c r="P51" s="3"/>
      <c r="V51" s="3"/>
    </row>
    <row r="52" spans="16:22" s="74" customFormat="1" x14ac:dyDescent="0.3">
      <c r="P52" s="3"/>
      <c r="V52" s="3"/>
    </row>
    <row r="53" spans="16:22" s="74" customFormat="1" x14ac:dyDescent="0.3">
      <c r="P53" s="3"/>
      <c r="V53" s="3"/>
    </row>
    <row r="54" spans="16:22" s="74" customFormat="1" x14ac:dyDescent="0.3">
      <c r="P54" s="3"/>
      <c r="V54" s="3"/>
    </row>
    <row r="55" spans="16:22" s="74" customFormat="1" x14ac:dyDescent="0.3">
      <c r="P55" s="3"/>
      <c r="V55" s="3"/>
    </row>
    <row r="56" spans="16:22" s="74" customFormat="1" x14ac:dyDescent="0.3">
      <c r="P56" s="3"/>
      <c r="V56" s="3"/>
    </row>
    <row r="57" spans="16:22" s="74" customFormat="1" x14ac:dyDescent="0.3">
      <c r="P57" s="3"/>
      <c r="V57" s="3"/>
    </row>
    <row r="58" spans="16:22" s="74" customFormat="1" x14ac:dyDescent="0.3">
      <c r="P58" s="3"/>
      <c r="V58" s="3"/>
    </row>
    <row r="59" spans="16:22" s="74" customFormat="1" x14ac:dyDescent="0.3">
      <c r="P59" s="3"/>
      <c r="V59" s="3"/>
    </row>
    <row r="60" spans="16:22" s="74" customFormat="1" x14ac:dyDescent="0.3">
      <c r="P60" s="3"/>
      <c r="V60" s="3"/>
    </row>
    <row r="61" spans="16:22" s="74" customFormat="1" x14ac:dyDescent="0.3">
      <c r="P61" s="3"/>
      <c r="V61" s="3"/>
    </row>
    <row r="62" spans="16:22" s="74" customFormat="1" x14ac:dyDescent="0.3">
      <c r="P62" s="3"/>
      <c r="V62" s="3"/>
    </row>
    <row r="63" spans="16:22" s="74" customFormat="1" x14ac:dyDescent="0.3">
      <c r="P63" s="3"/>
      <c r="V63" s="3"/>
    </row>
    <row r="64" spans="16:22" s="74" customFormat="1" x14ac:dyDescent="0.3">
      <c r="P64" s="3"/>
      <c r="V64" s="3"/>
    </row>
    <row r="65" spans="16:22" s="74" customFormat="1" x14ac:dyDescent="0.3">
      <c r="P65" s="3"/>
      <c r="V65" s="3"/>
    </row>
    <row r="66" spans="16:22" s="74" customFormat="1" x14ac:dyDescent="0.3">
      <c r="P66" s="3"/>
      <c r="V66" s="3"/>
    </row>
    <row r="67" spans="16:22" s="74" customFormat="1" x14ac:dyDescent="0.3">
      <c r="P67" s="3"/>
      <c r="V67" s="3"/>
    </row>
    <row r="68" spans="16:22" s="74" customFormat="1" x14ac:dyDescent="0.3">
      <c r="P68" s="3"/>
      <c r="V68" s="3"/>
    </row>
    <row r="69" spans="16:22" s="74" customFormat="1" x14ac:dyDescent="0.3">
      <c r="P69" s="3"/>
      <c r="V69" s="3"/>
    </row>
    <row r="70" spans="16:22" s="74" customFormat="1" x14ac:dyDescent="0.3">
      <c r="P70" s="3"/>
      <c r="V70" s="3"/>
    </row>
    <row r="71" spans="16:22" s="74" customFormat="1" x14ac:dyDescent="0.3">
      <c r="P71" s="3"/>
      <c r="V71" s="3"/>
    </row>
    <row r="72" spans="16:22" s="74" customFormat="1" x14ac:dyDescent="0.3">
      <c r="P72" s="3"/>
      <c r="V72" s="3"/>
    </row>
    <row r="73" spans="16:22" s="74" customFormat="1" x14ac:dyDescent="0.3">
      <c r="P73" s="3"/>
      <c r="V73" s="3"/>
    </row>
    <row r="74" spans="16:22" s="74" customFormat="1" x14ac:dyDescent="0.3">
      <c r="P74" s="3"/>
      <c r="V74" s="3"/>
    </row>
    <row r="75" spans="16:22" s="74" customFormat="1" x14ac:dyDescent="0.3">
      <c r="P75" s="3"/>
      <c r="V75" s="3"/>
    </row>
    <row r="76" spans="16:22" s="74" customFormat="1" x14ac:dyDescent="0.3">
      <c r="P76" s="3"/>
      <c r="V76" s="3"/>
    </row>
    <row r="77" spans="16:22" s="74" customFormat="1" x14ac:dyDescent="0.3">
      <c r="P77" s="3"/>
      <c r="V77" s="3"/>
    </row>
    <row r="78" spans="16:22" s="74" customFormat="1" x14ac:dyDescent="0.3">
      <c r="P78" s="3"/>
      <c r="V78" s="3"/>
    </row>
    <row r="79" spans="16:22" s="74" customFormat="1" x14ac:dyDescent="0.3">
      <c r="P79" s="3"/>
      <c r="V79" s="3"/>
    </row>
    <row r="80" spans="16:22" s="74" customFormat="1" x14ac:dyDescent="0.3">
      <c r="P80" s="3"/>
      <c r="V80" s="3"/>
    </row>
    <row r="81" spans="16:22" s="74" customFormat="1" x14ac:dyDescent="0.3">
      <c r="P81" s="3"/>
      <c r="V81" s="3"/>
    </row>
    <row r="82" spans="16:22" s="74" customFormat="1" x14ac:dyDescent="0.3">
      <c r="P82" s="3"/>
      <c r="V82" s="3"/>
    </row>
    <row r="83" spans="16:22" s="74" customFormat="1" x14ac:dyDescent="0.3">
      <c r="P83" s="3"/>
      <c r="V83" s="3"/>
    </row>
    <row r="84" spans="16:22" s="74" customFormat="1" x14ac:dyDescent="0.3">
      <c r="P84" s="3"/>
      <c r="V84" s="3"/>
    </row>
    <row r="85" spans="16:22" s="74" customFormat="1" x14ac:dyDescent="0.3">
      <c r="P85" s="3"/>
      <c r="V85" s="3"/>
    </row>
    <row r="86" spans="16:22" s="74" customFormat="1" x14ac:dyDescent="0.3">
      <c r="P86" s="3"/>
      <c r="V86" s="3"/>
    </row>
    <row r="87" spans="16:22" s="74" customFormat="1" x14ac:dyDescent="0.3">
      <c r="P87" s="3"/>
      <c r="V87" s="3"/>
    </row>
    <row r="88" spans="16:22" s="74" customFormat="1" x14ac:dyDescent="0.3">
      <c r="P88" s="3"/>
      <c r="V88" s="3"/>
    </row>
    <row r="89" spans="16:22" s="74" customFormat="1" x14ac:dyDescent="0.3">
      <c r="P89" s="3"/>
      <c r="V89" s="3"/>
    </row>
    <row r="90" spans="16:22" s="74" customFormat="1" x14ac:dyDescent="0.3">
      <c r="P90" s="3"/>
      <c r="V90" s="3"/>
    </row>
    <row r="91" spans="16:22" s="74" customFormat="1" x14ac:dyDescent="0.3">
      <c r="P91" s="3"/>
      <c r="V91" s="3"/>
    </row>
    <row r="92" spans="16:22" s="74" customFormat="1" x14ac:dyDescent="0.3">
      <c r="P92" s="3"/>
      <c r="V92" s="3"/>
    </row>
    <row r="93" spans="16:22" s="74" customFormat="1" x14ac:dyDescent="0.3">
      <c r="P93" s="3"/>
      <c r="V93" s="3"/>
    </row>
    <row r="94" spans="16:22" s="74" customFormat="1" x14ac:dyDescent="0.3">
      <c r="P94" s="3"/>
      <c r="V94" s="3"/>
    </row>
    <row r="95" spans="16:22" s="74" customFormat="1" x14ac:dyDescent="0.3">
      <c r="P95" s="3"/>
      <c r="V95" s="3"/>
    </row>
    <row r="96" spans="16:22" s="74" customFormat="1" x14ac:dyDescent="0.3">
      <c r="P96" s="3"/>
      <c r="V96" s="3"/>
    </row>
    <row r="97" spans="16:22" s="74" customFormat="1" x14ac:dyDescent="0.3">
      <c r="P97" s="3"/>
      <c r="V97" s="3"/>
    </row>
    <row r="98" spans="16:22" s="74" customFormat="1" x14ac:dyDescent="0.3">
      <c r="P98" s="3"/>
      <c r="V98" s="3"/>
    </row>
    <row r="99" spans="16:22" s="74" customFormat="1" x14ac:dyDescent="0.3">
      <c r="P99" s="3"/>
      <c r="V99" s="3"/>
    </row>
    <row r="100" spans="16:22" s="74" customFormat="1" x14ac:dyDescent="0.3">
      <c r="P100" s="3"/>
      <c r="V100" s="3"/>
    </row>
    <row r="101" spans="16:22" s="74" customFormat="1" x14ac:dyDescent="0.3">
      <c r="P101" s="3"/>
      <c r="V101" s="3"/>
    </row>
    <row r="102" spans="16:22" s="74" customFormat="1" x14ac:dyDescent="0.3">
      <c r="P102" s="3"/>
      <c r="V102" s="3"/>
    </row>
    <row r="103" spans="16:22" s="74" customFormat="1" x14ac:dyDescent="0.3">
      <c r="P103" s="3"/>
      <c r="V103" s="3"/>
    </row>
    <row r="104" spans="16:22" s="74" customFormat="1" x14ac:dyDescent="0.3">
      <c r="P104" s="3"/>
      <c r="V104" s="3"/>
    </row>
    <row r="105" spans="16:22" s="74" customFormat="1" x14ac:dyDescent="0.3">
      <c r="P105" s="3"/>
      <c r="V105" s="3"/>
    </row>
    <row r="106" spans="16:22" s="74" customFormat="1" x14ac:dyDescent="0.3">
      <c r="P106" s="3"/>
      <c r="V106" s="3"/>
    </row>
    <row r="107" spans="16:22" s="74" customFormat="1" x14ac:dyDescent="0.3">
      <c r="P107" s="3"/>
      <c r="V107" s="3"/>
    </row>
    <row r="108" spans="16:22" s="74" customFormat="1" x14ac:dyDescent="0.3">
      <c r="P108" s="3"/>
      <c r="V108" s="3"/>
    </row>
    <row r="109" spans="16:22" s="74" customFormat="1" x14ac:dyDescent="0.3">
      <c r="P109" s="3"/>
      <c r="V109" s="3"/>
    </row>
    <row r="110" spans="16:22" s="74" customFormat="1" x14ac:dyDescent="0.3">
      <c r="P110" s="3"/>
      <c r="V110" s="3"/>
    </row>
    <row r="111" spans="16:22" s="74" customFormat="1" x14ac:dyDescent="0.3">
      <c r="P111" s="3"/>
      <c r="V111" s="3"/>
    </row>
    <row r="112" spans="16:22" s="74" customFormat="1" x14ac:dyDescent="0.3">
      <c r="P112" s="3"/>
      <c r="V112" s="3"/>
    </row>
    <row r="113" spans="16:22" s="74" customFormat="1" x14ac:dyDescent="0.3">
      <c r="P113" s="3"/>
      <c r="V113" s="3"/>
    </row>
    <row r="114" spans="16:22" s="74" customFormat="1" x14ac:dyDescent="0.3">
      <c r="P114" s="3"/>
      <c r="V114" s="3"/>
    </row>
    <row r="115" spans="16:22" s="74" customFormat="1" x14ac:dyDescent="0.3">
      <c r="P115" s="3"/>
      <c r="V115" s="3"/>
    </row>
    <row r="116" spans="16:22" s="74" customFormat="1" x14ac:dyDescent="0.3">
      <c r="P116" s="3"/>
      <c r="V116" s="3"/>
    </row>
    <row r="117" spans="16:22" s="74" customFormat="1" x14ac:dyDescent="0.3">
      <c r="P117" s="3"/>
      <c r="V117" s="3"/>
    </row>
    <row r="118" spans="16:22" s="74" customFormat="1" x14ac:dyDescent="0.3">
      <c r="P118" s="3"/>
      <c r="V118" s="3"/>
    </row>
    <row r="119" spans="16:22" s="74" customFormat="1" x14ac:dyDescent="0.3">
      <c r="P119" s="3"/>
      <c r="V119" s="3"/>
    </row>
    <row r="120" spans="16:22" s="74" customFormat="1" x14ac:dyDescent="0.3">
      <c r="P120" s="3"/>
      <c r="V120" s="3"/>
    </row>
    <row r="121" spans="16:22" s="74" customFormat="1" x14ac:dyDescent="0.3">
      <c r="P121" s="3"/>
      <c r="V121" s="3"/>
    </row>
    <row r="122" spans="16:22" s="74" customFormat="1" x14ac:dyDescent="0.3">
      <c r="P122" s="3"/>
      <c r="V122" s="3"/>
    </row>
    <row r="123" spans="16:22" s="74" customFormat="1" x14ac:dyDescent="0.3">
      <c r="P123" s="3"/>
      <c r="V123" s="3"/>
    </row>
    <row r="124" spans="16:22" s="74" customFormat="1" x14ac:dyDescent="0.3">
      <c r="P124" s="3"/>
      <c r="V124" s="3"/>
    </row>
    <row r="125" spans="16:22" s="74" customFormat="1" x14ac:dyDescent="0.3">
      <c r="P125" s="3"/>
      <c r="V125" s="3"/>
    </row>
    <row r="126" spans="16:22" s="74" customFormat="1" x14ac:dyDescent="0.3">
      <c r="P126" s="3"/>
      <c r="V126" s="3"/>
    </row>
    <row r="127" spans="16:22" s="74" customFormat="1" x14ac:dyDescent="0.3">
      <c r="P127" s="3"/>
      <c r="V127" s="3"/>
    </row>
    <row r="128" spans="16:22" s="74" customFormat="1" x14ac:dyDescent="0.3">
      <c r="P128" s="3"/>
      <c r="V128" s="3"/>
    </row>
    <row r="129" spans="16:22" s="74" customFormat="1" x14ac:dyDescent="0.3">
      <c r="P129" s="3"/>
      <c r="V129" s="3"/>
    </row>
    <row r="130" spans="16:22" s="74" customFormat="1" x14ac:dyDescent="0.3">
      <c r="P130" s="3"/>
      <c r="V130" s="3"/>
    </row>
    <row r="131" spans="16:22" s="74" customFormat="1" x14ac:dyDescent="0.3">
      <c r="P131" s="3"/>
      <c r="V131" s="3"/>
    </row>
    <row r="132" spans="16:22" s="74" customFormat="1" x14ac:dyDescent="0.3">
      <c r="P132" s="3"/>
      <c r="V132" s="3"/>
    </row>
    <row r="133" spans="16:22" s="74" customFormat="1" x14ac:dyDescent="0.3">
      <c r="P133" s="3"/>
      <c r="V133" s="3"/>
    </row>
    <row r="134" spans="16:22" s="74" customFormat="1" x14ac:dyDescent="0.3">
      <c r="P134" s="3"/>
      <c r="V134" s="3"/>
    </row>
    <row r="135" spans="16:22" s="74" customFormat="1" x14ac:dyDescent="0.3">
      <c r="P135" s="3"/>
      <c r="V135" s="3"/>
    </row>
    <row r="136" spans="16:22" s="74" customFormat="1" x14ac:dyDescent="0.3">
      <c r="P136" s="3"/>
      <c r="V136" s="3"/>
    </row>
    <row r="137" spans="16:22" s="74" customFormat="1" x14ac:dyDescent="0.3">
      <c r="P137" s="3"/>
      <c r="V137" s="3"/>
    </row>
    <row r="138" spans="16:22" s="74" customFormat="1" x14ac:dyDescent="0.3">
      <c r="P138" s="3"/>
      <c r="V138" s="3"/>
    </row>
    <row r="139" spans="16:22" s="74" customFormat="1" x14ac:dyDescent="0.3">
      <c r="P139" s="3"/>
      <c r="V139" s="3"/>
    </row>
    <row r="140" spans="16:22" s="74" customFormat="1" x14ac:dyDescent="0.3">
      <c r="P140" s="3"/>
      <c r="V140" s="3"/>
    </row>
    <row r="141" spans="16:22" s="74" customFormat="1" x14ac:dyDescent="0.3">
      <c r="P141" s="3"/>
      <c r="V141" s="3"/>
    </row>
    <row r="142" spans="16:22" s="74" customFormat="1" x14ac:dyDescent="0.3">
      <c r="P142" s="3"/>
      <c r="V142" s="3"/>
    </row>
    <row r="143" spans="16:22" s="74" customFormat="1" x14ac:dyDescent="0.3">
      <c r="P143" s="3"/>
      <c r="V143" s="3"/>
    </row>
    <row r="144" spans="16:22" s="74" customFormat="1" x14ac:dyDescent="0.3">
      <c r="P144" s="3"/>
      <c r="V144" s="3"/>
    </row>
    <row r="145" spans="16:22" s="74" customFormat="1" x14ac:dyDescent="0.3">
      <c r="P145" s="3"/>
      <c r="V145" s="3"/>
    </row>
    <row r="146" spans="16:22" s="74" customFormat="1" x14ac:dyDescent="0.3">
      <c r="P146" s="3"/>
      <c r="V146" s="3"/>
    </row>
    <row r="147" spans="16:22" s="74" customFormat="1" x14ac:dyDescent="0.3">
      <c r="P147" s="3"/>
      <c r="V147" s="3"/>
    </row>
    <row r="148" spans="16:22" s="74" customFormat="1" x14ac:dyDescent="0.3">
      <c r="P148" s="3"/>
      <c r="V148" s="3"/>
    </row>
    <row r="149" spans="16:22" s="74" customFormat="1" x14ac:dyDescent="0.3">
      <c r="P149" s="3"/>
      <c r="V149" s="3"/>
    </row>
    <row r="150" spans="16:22" s="74" customFormat="1" x14ac:dyDescent="0.3">
      <c r="P150" s="3"/>
      <c r="V150" s="3"/>
    </row>
    <row r="151" spans="16:22" s="74" customFormat="1" x14ac:dyDescent="0.3">
      <c r="P151" s="3"/>
      <c r="V151" s="3"/>
    </row>
    <row r="152" spans="16:22" s="74" customFormat="1" x14ac:dyDescent="0.3">
      <c r="P152" s="3"/>
      <c r="V152" s="3"/>
    </row>
    <row r="153" spans="16:22" s="74" customFormat="1" x14ac:dyDescent="0.3">
      <c r="P153" s="3"/>
      <c r="V153" s="3"/>
    </row>
    <row r="154" spans="16:22" s="74" customFormat="1" x14ac:dyDescent="0.3">
      <c r="P154" s="3"/>
      <c r="V154" s="3"/>
    </row>
    <row r="155" spans="16:22" s="74" customFormat="1" x14ac:dyDescent="0.3">
      <c r="P155" s="3"/>
      <c r="V155" s="3"/>
    </row>
    <row r="156" spans="16:22" s="74" customFormat="1" x14ac:dyDescent="0.3">
      <c r="P156" s="3"/>
      <c r="V156" s="3"/>
    </row>
    <row r="157" spans="16:22" s="74" customFormat="1" x14ac:dyDescent="0.3">
      <c r="P157" s="3"/>
      <c r="V157" s="3"/>
    </row>
    <row r="158" spans="16:22" s="74" customFormat="1" x14ac:dyDescent="0.3">
      <c r="P158" s="3"/>
      <c r="V158" s="3"/>
    </row>
    <row r="159" spans="16:22" s="74" customFormat="1" x14ac:dyDescent="0.3">
      <c r="P159" s="3"/>
      <c r="V159" s="3"/>
    </row>
    <row r="160" spans="16:22" s="74" customFormat="1" x14ac:dyDescent="0.3">
      <c r="P160" s="3"/>
      <c r="V160" s="3"/>
    </row>
    <row r="161" spans="16:22" s="74" customFormat="1" x14ac:dyDescent="0.3">
      <c r="P161" s="3"/>
      <c r="V161" s="3"/>
    </row>
    <row r="162" spans="16:22" s="74" customFormat="1" x14ac:dyDescent="0.3">
      <c r="P162" s="3"/>
      <c r="V162" s="3"/>
    </row>
    <row r="163" spans="16:22" s="74" customFormat="1" x14ac:dyDescent="0.3">
      <c r="P163" s="3"/>
      <c r="V163" s="3"/>
    </row>
    <row r="164" spans="16:22" s="74" customFormat="1" x14ac:dyDescent="0.3">
      <c r="P164" s="3"/>
      <c r="V164" s="3"/>
    </row>
    <row r="165" spans="16:22" s="74" customFormat="1" x14ac:dyDescent="0.3">
      <c r="P165" s="3"/>
      <c r="V165" s="3"/>
    </row>
    <row r="166" spans="16:22" s="74" customFormat="1" x14ac:dyDescent="0.3">
      <c r="P166" s="3"/>
      <c r="V166" s="3"/>
    </row>
    <row r="167" spans="16:22" s="74" customFormat="1" x14ac:dyDescent="0.3">
      <c r="P167" s="3"/>
      <c r="V167" s="3"/>
    </row>
    <row r="168" spans="16:22" s="74" customFormat="1" x14ac:dyDescent="0.3">
      <c r="P168" s="3"/>
      <c r="V168" s="3"/>
    </row>
    <row r="169" spans="16:22" s="74" customFormat="1" x14ac:dyDescent="0.3">
      <c r="P169" s="3"/>
      <c r="V169" s="3"/>
    </row>
    <row r="170" spans="16:22" s="74" customFormat="1" x14ac:dyDescent="0.3">
      <c r="P170" s="3"/>
      <c r="V170" s="3"/>
    </row>
    <row r="171" spans="16:22" s="74" customFormat="1" x14ac:dyDescent="0.3">
      <c r="P171" s="3"/>
      <c r="V171" s="3"/>
    </row>
    <row r="172" spans="16:22" s="74" customFormat="1" x14ac:dyDescent="0.3">
      <c r="P172" s="3"/>
      <c r="V172" s="3"/>
    </row>
    <row r="173" spans="16:22" s="74" customFormat="1" x14ac:dyDescent="0.3">
      <c r="P173" s="3"/>
      <c r="V173" s="3"/>
    </row>
    <row r="174" spans="16:22" s="74" customFormat="1" x14ac:dyDescent="0.3">
      <c r="P174" s="3"/>
      <c r="V174" s="3"/>
    </row>
    <row r="175" spans="16:22" s="74" customFormat="1" x14ac:dyDescent="0.3">
      <c r="P175" s="3"/>
      <c r="V175" s="3"/>
    </row>
    <row r="176" spans="16:22" s="74" customFormat="1" x14ac:dyDescent="0.3">
      <c r="P176" s="3"/>
      <c r="V176" s="3"/>
    </row>
    <row r="177" spans="16:22" s="74" customFormat="1" x14ac:dyDescent="0.3">
      <c r="P177" s="3"/>
      <c r="V177" s="3"/>
    </row>
    <row r="178" spans="16:22" s="74" customFormat="1" x14ac:dyDescent="0.3">
      <c r="P178" s="3"/>
      <c r="V178" s="3"/>
    </row>
    <row r="179" spans="16:22" s="74" customFormat="1" x14ac:dyDescent="0.3">
      <c r="P179" s="3"/>
      <c r="V179" s="3"/>
    </row>
    <row r="180" spans="16:22" s="74" customFormat="1" x14ac:dyDescent="0.3">
      <c r="P180" s="3"/>
      <c r="V180" s="3"/>
    </row>
    <row r="181" spans="16:22" s="74" customFormat="1" x14ac:dyDescent="0.3">
      <c r="P181" s="3"/>
      <c r="V181" s="3"/>
    </row>
    <row r="182" spans="16:22" s="74" customFormat="1" x14ac:dyDescent="0.3">
      <c r="P182" s="3"/>
      <c r="V182" s="3"/>
    </row>
    <row r="183" spans="16:22" s="74" customFormat="1" x14ac:dyDescent="0.3">
      <c r="P183" s="3"/>
      <c r="V183" s="3"/>
    </row>
    <row r="184" spans="16:22" s="74" customFormat="1" x14ac:dyDescent="0.3">
      <c r="P184" s="3"/>
      <c r="V184" s="3"/>
    </row>
    <row r="185" spans="16:22" s="74" customFormat="1" x14ac:dyDescent="0.3">
      <c r="P185" s="3"/>
      <c r="V185" s="3"/>
    </row>
    <row r="186" spans="16:22" s="74" customFormat="1" x14ac:dyDescent="0.3">
      <c r="P186" s="3"/>
      <c r="V186" s="3"/>
    </row>
    <row r="187" spans="16:22" s="74" customFormat="1" x14ac:dyDescent="0.3">
      <c r="P187" s="3"/>
      <c r="V187" s="3"/>
    </row>
    <row r="188" spans="16:22" s="74" customFormat="1" x14ac:dyDescent="0.3">
      <c r="P188" s="3"/>
      <c r="V188" s="3"/>
    </row>
    <row r="189" spans="16:22" s="74" customFormat="1" x14ac:dyDescent="0.3">
      <c r="P189" s="3"/>
      <c r="V189" s="3"/>
    </row>
    <row r="190" spans="16:22" s="74" customFormat="1" x14ac:dyDescent="0.3">
      <c r="P190" s="3"/>
      <c r="V190" s="3"/>
    </row>
    <row r="191" spans="16:22" s="74" customFormat="1" x14ac:dyDescent="0.3">
      <c r="P191" s="3"/>
      <c r="V191" s="3"/>
    </row>
    <row r="192" spans="16:22" s="74" customFormat="1" x14ac:dyDescent="0.3">
      <c r="P192" s="3"/>
      <c r="V192" s="3"/>
    </row>
    <row r="193" spans="16:22" s="74" customFormat="1" x14ac:dyDescent="0.3">
      <c r="P193" s="3"/>
      <c r="V193" s="3"/>
    </row>
    <row r="194" spans="16:22" s="74" customFormat="1" x14ac:dyDescent="0.3">
      <c r="P194" s="3"/>
      <c r="V194" s="3"/>
    </row>
    <row r="195" spans="16:22" s="74" customFormat="1" x14ac:dyDescent="0.3">
      <c r="P195" s="3"/>
      <c r="V195" s="3"/>
    </row>
    <row r="196" spans="16:22" s="74" customFormat="1" x14ac:dyDescent="0.3">
      <c r="P196" s="3"/>
      <c r="V196" s="3"/>
    </row>
    <row r="197" spans="16:22" s="74" customFormat="1" x14ac:dyDescent="0.3">
      <c r="P197" s="3"/>
      <c r="V197" s="3"/>
    </row>
    <row r="198" spans="16:22" s="74" customFormat="1" x14ac:dyDescent="0.3">
      <c r="P198" s="3"/>
      <c r="V198" s="3"/>
    </row>
    <row r="199" spans="16:22" s="74" customFormat="1" x14ac:dyDescent="0.3">
      <c r="P199" s="3"/>
      <c r="V199" s="3"/>
    </row>
    <row r="200" spans="16:22" s="74" customFormat="1" x14ac:dyDescent="0.3">
      <c r="P200" s="3"/>
      <c r="V200" s="3"/>
    </row>
    <row r="201" spans="16:22" s="74" customFormat="1" x14ac:dyDescent="0.3">
      <c r="P201" s="3"/>
      <c r="V201" s="3"/>
    </row>
    <row r="202" spans="16:22" s="74" customFormat="1" x14ac:dyDescent="0.3">
      <c r="P202" s="3"/>
      <c r="V202" s="3"/>
    </row>
    <row r="203" spans="16:22" s="74" customFormat="1" x14ac:dyDescent="0.3">
      <c r="P203" s="3"/>
      <c r="V203" s="3"/>
    </row>
    <row r="204" spans="16:22" s="74" customFormat="1" x14ac:dyDescent="0.3">
      <c r="P204" s="3"/>
      <c r="V204" s="3"/>
    </row>
    <row r="205" spans="16:22" s="74" customFormat="1" x14ac:dyDescent="0.3">
      <c r="P205" s="3"/>
      <c r="V205" s="3"/>
    </row>
    <row r="206" spans="16:22" s="74" customFormat="1" x14ac:dyDescent="0.3">
      <c r="P206" s="3"/>
      <c r="V206" s="3"/>
    </row>
    <row r="207" spans="16:22" s="74" customFormat="1" x14ac:dyDescent="0.3">
      <c r="P207" s="3"/>
      <c r="V207" s="3"/>
    </row>
    <row r="208" spans="16:22" s="74" customFormat="1" x14ac:dyDescent="0.3">
      <c r="P208" s="3"/>
      <c r="V208" s="3"/>
    </row>
    <row r="209" spans="16:22" s="74" customFormat="1" x14ac:dyDescent="0.3">
      <c r="P209" s="3"/>
      <c r="V209" s="3"/>
    </row>
    <row r="210" spans="16:22" s="74" customFormat="1" x14ac:dyDescent="0.3">
      <c r="P210" s="3"/>
      <c r="V210" s="3"/>
    </row>
    <row r="211" spans="16:22" s="74" customFormat="1" x14ac:dyDescent="0.3">
      <c r="P211" s="3"/>
      <c r="V211" s="3"/>
    </row>
    <row r="212" spans="16:22" s="74" customFormat="1" x14ac:dyDescent="0.3">
      <c r="P212" s="3"/>
      <c r="V212" s="3"/>
    </row>
    <row r="213" spans="16:22" s="74" customFormat="1" x14ac:dyDescent="0.3">
      <c r="P213" s="3"/>
      <c r="V213" s="3"/>
    </row>
    <row r="214" spans="16:22" s="74" customFormat="1" x14ac:dyDescent="0.3">
      <c r="P214" s="3"/>
      <c r="V214" s="3"/>
    </row>
    <row r="215" spans="16:22" s="74" customFormat="1" x14ac:dyDescent="0.3">
      <c r="P215" s="3"/>
      <c r="V215" s="3"/>
    </row>
    <row r="216" spans="16:22" s="74" customFormat="1" x14ac:dyDescent="0.3">
      <c r="P216" s="3"/>
      <c r="V216" s="3"/>
    </row>
    <row r="217" spans="16:22" s="74" customFormat="1" x14ac:dyDescent="0.3">
      <c r="P217" s="3"/>
      <c r="V217" s="3"/>
    </row>
    <row r="218" spans="16:22" s="74" customFormat="1" x14ac:dyDescent="0.3">
      <c r="P218" s="3"/>
      <c r="V218" s="3"/>
    </row>
    <row r="219" spans="16:22" s="74" customFormat="1" x14ac:dyDescent="0.3">
      <c r="P219" s="3"/>
      <c r="V219" s="3"/>
    </row>
    <row r="220" spans="16:22" s="74" customFormat="1" x14ac:dyDescent="0.3">
      <c r="P220" s="3"/>
      <c r="V220" s="3"/>
    </row>
    <row r="221" spans="16:22" s="74" customFormat="1" x14ac:dyDescent="0.3">
      <c r="P221" s="3"/>
      <c r="V221" s="3"/>
    </row>
    <row r="222" spans="16:22" s="74" customFormat="1" x14ac:dyDescent="0.3">
      <c r="P222" s="3"/>
      <c r="V222" s="3"/>
    </row>
    <row r="223" spans="16:22" s="74" customFormat="1" x14ac:dyDescent="0.3">
      <c r="P223" s="3"/>
      <c r="V223" s="3"/>
    </row>
    <row r="224" spans="16:22" s="74" customFormat="1" x14ac:dyDescent="0.3">
      <c r="P224" s="3"/>
      <c r="V224" s="3"/>
    </row>
    <row r="225" spans="16:22" s="74" customFormat="1" x14ac:dyDescent="0.3">
      <c r="P225" s="3"/>
      <c r="V225" s="3"/>
    </row>
    <row r="226" spans="16:22" s="74" customFormat="1" x14ac:dyDescent="0.3">
      <c r="P226" s="3"/>
      <c r="V226" s="3"/>
    </row>
    <row r="227" spans="16:22" s="74" customFormat="1" x14ac:dyDescent="0.3">
      <c r="P227" s="3"/>
      <c r="V227" s="3"/>
    </row>
    <row r="228" spans="16:22" s="74" customFormat="1" x14ac:dyDescent="0.3">
      <c r="P228" s="3"/>
      <c r="V228" s="3"/>
    </row>
    <row r="229" spans="16:22" s="74" customFormat="1" x14ac:dyDescent="0.3">
      <c r="P229" s="3"/>
      <c r="V229" s="3"/>
    </row>
    <row r="230" spans="16:22" s="74" customFormat="1" x14ac:dyDescent="0.3">
      <c r="P230" s="3"/>
      <c r="V230" s="3"/>
    </row>
    <row r="231" spans="16:22" s="74" customFormat="1" x14ac:dyDescent="0.3">
      <c r="P231" s="3"/>
      <c r="V231" s="3"/>
    </row>
    <row r="232" spans="16:22" s="74" customFormat="1" x14ac:dyDescent="0.3">
      <c r="P232" s="3"/>
      <c r="V232" s="3"/>
    </row>
    <row r="233" spans="16:22" s="74" customFormat="1" x14ac:dyDescent="0.3">
      <c r="P233" s="3"/>
      <c r="V233" s="3"/>
    </row>
    <row r="234" spans="16:22" s="74" customFormat="1" x14ac:dyDescent="0.3">
      <c r="P234" s="3"/>
      <c r="V234" s="3"/>
    </row>
    <row r="235" spans="16:22" s="74" customFormat="1" x14ac:dyDescent="0.3">
      <c r="P235" s="3"/>
      <c r="V235" s="3"/>
    </row>
    <row r="236" spans="16:22" s="74" customFormat="1" x14ac:dyDescent="0.3">
      <c r="P236" s="3"/>
      <c r="V236" s="3"/>
    </row>
    <row r="237" spans="16:22" s="74" customFormat="1" x14ac:dyDescent="0.3">
      <c r="P237" s="3"/>
      <c r="V237" s="3"/>
    </row>
    <row r="238" spans="16:22" s="74" customFormat="1" x14ac:dyDescent="0.3">
      <c r="P238" s="3"/>
      <c r="V238" s="3"/>
    </row>
    <row r="239" spans="16:22" s="74" customFormat="1" x14ac:dyDescent="0.3">
      <c r="P239" s="3"/>
      <c r="V239" s="3"/>
    </row>
    <row r="240" spans="16:22" s="74" customFormat="1" x14ac:dyDescent="0.3">
      <c r="P240" s="3"/>
      <c r="V240" s="3"/>
    </row>
    <row r="241" spans="16:22" s="74" customFormat="1" x14ac:dyDescent="0.3">
      <c r="P241" s="3"/>
      <c r="V241" s="3"/>
    </row>
    <row r="242" spans="16:22" s="74" customFormat="1" x14ac:dyDescent="0.3">
      <c r="P242" s="3"/>
      <c r="V242" s="3"/>
    </row>
    <row r="243" spans="16:22" s="74" customFormat="1" x14ac:dyDescent="0.3">
      <c r="P243" s="3"/>
      <c r="V243" s="3"/>
    </row>
    <row r="244" spans="16:22" s="74" customFormat="1" x14ac:dyDescent="0.3">
      <c r="P244" s="3"/>
      <c r="V244" s="3"/>
    </row>
    <row r="245" spans="16:22" s="74" customFormat="1" x14ac:dyDescent="0.3">
      <c r="P245" s="3"/>
      <c r="V245" s="3"/>
    </row>
    <row r="246" spans="16:22" s="74" customFormat="1" x14ac:dyDescent="0.3">
      <c r="P246" s="3"/>
      <c r="V246" s="3"/>
    </row>
    <row r="247" spans="16:22" s="74" customFormat="1" x14ac:dyDescent="0.3">
      <c r="P247" s="3"/>
      <c r="V247" s="3"/>
    </row>
    <row r="248" spans="16:22" s="74" customFormat="1" x14ac:dyDescent="0.3">
      <c r="P248" s="3"/>
      <c r="V248" s="3"/>
    </row>
    <row r="249" spans="16:22" s="74" customFormat="1" x14ac:dyDescent="0.3">
      <c r="P249" s="3"/>
      <c r="V249" s="3"/>
    </row>
    <row r="250" spans="16:22" s="74" customFormat="1" x14ac:dyDescent="0.3">
      <c r="P250" s="3"/>
      <c r="V250" s="3"/>
    </row>
    <row r="251" spans="16:22" s="74" customFormat="1" x14ac:dyDescent="0.3">
      <c r="P251" s="3"/>
      <c r="V251" s="3"/>
    </row>
    <row r="252" spans="16:22" s="74" customFormat="1" x14ac:dyDescent="0.3">
      <c r="P252" s="3"/>
      <c r="V252" s="3"/>
    </row>
    <row r="253" spans="16:22" s="74" customFormat="1" x14ac:dyDescent="0.3">
      <c r="P253" s="3"/>
      <c r="V253" s="3"/>
    </row>
    <row r="254" spans="16:22" s="74" customFormat="1" x14ac:dyDescent="0.3">
      <c r="P254" s="3"/>
      <c r="V254" s="3"/>
    </row>
    <row r="255" spans="16:22" s="74" customFormat="1" x14ac:dyDescent="0.3">
      <c r="P255" s="3"/>
      <c r="V255" s="3"/>
    </row>
    <row r="256" spans="16:22" s="74" customFormat="1" x14ac:dyDescent="0.3">
      <c r="P256" s="3"/>
      <c r="V256" s="3"/>
    </row>
    <row r="257" spans="16:22" s="74" customFormat="1" x14ac:dyDescent="0.3">
      <c r="P257" s="3"/>
      <c r="V257" s="3"/>
    </row>
    <row r="258" spans="16:22" s="74" customFormat="1" x14ac:dyDescent="0.3">
      <c r="P258" s="3"/>
      <c r="V258" s="3"/>
    </row>
    <row r="259" spans="16:22" s="74" customFormat="1" x14ac:dyDescent="0.3">
      <c r="P259" s="3"/>
      <c r="V259" s="3"/>
    </row>
    <row r="260" spans="16:22" s="74" customFormat="1" x14ac:dyDescent="0.3">
      <c r="P260" s="3"/>
      <c r="V260" s="3"/>
    </row>
    <row r="261" spans="16:22" s="74" customFormat="1" x14ac:dyDescent="0.3">
      <c r="P261" s="3"/>
      <c r="V261" s="3"/>
    </row>
    <row r="262" spans="16:22" s="74" customFormat="1" x14ac:dyDescent="0.3">
      <c r="P262" s="3"/>
      <c r="V262" s="3"/>
    </row>
    <row r="263" spans="16:22" s="74" customFormat="1" x14ac:dyDescent="0.3">
      <c r="P263" s="3"/>
      <c r="V263" s="3"/>
    </row>
    <row r="264" spans="16:22" s="74" customFormat="1" x14ac:dyDescent="0.3">
      <c r="P264" s="3"/>
      <c r="V264" s="3"/>
    </row>
    <row r="265" spans="16:22" s="74" customFormat="1" x14ac:dyDescent="0.3">
      <c r="P265" s="3"/>
      <c r="V265" s="3"/>
    </row>
    <row r="266" spans="16:22" s="74" customFormat="1" x14ac:dyDescent="0.3">
      <c r="P266" s="3"/>
      <c r="V266" s="3"/>
    </row>
    <row r="267" spans="16:22" s="74" customFormat="1" x14ac:dyDescent="0.3">
      <c r="P267" s="3"/>
      <c r="V267" s="3"/>
    </row>
    <row r="268" spans="16:22" s="74" customFormat="1" x14ac:dyDescent="0.3">
      <c r="P268" s="3"/>
      <c r="V268" s="3"/>
    </row>
    <row r="269" spans="16:22" s="74" customFormat="1" x14ac:dyDescent="0.3">
      <c r="P269" s="3"/>
      <c r="V269" s="3"/>
    </row>
    <row r="270" spans="16:22" s="74" customFormat="1" x14ac:dyDescent="0.3">
      <c r="P270" s="3"/>
      <c r="V270" s="3"/>
    </row>
    <row r="271" spans="16:22" s="74" customFormat="1" x14ac:dyDescent="0.3">
      <c r="P271" s="3"/>
      <c r="V271" s="3"/>
    </row>
    <row r="272" spans="16:22" s="74" customFormat="1" x14ac:dyDescent="0.3">
      <c r="P272" s="3"/>
      <c r="V272" s="3"/>
    </row>
    <row r="273" spans="16:22" s="74" customFormat="1" x14ac:dyDescent="0.3">
      <c r="P273" s="3"/>
      <c r="V273" s="3"/>
    </row>
    <row r="274" spans="16:22" s="74" customFormat="1" x14ac:dyDescent="0.3">
      <c r="P274" s="3"/>
      <c r="V274" s="3"/>
    </row>
    <row r="275" spans="16:22" s="74" customFormat="1" x14ac:dyDescent="0.3">
      <c r="P275" s="3"/>
      <c r="V275" s="3"/>
    </row>
    <row r="276" spans="16:22" s="74" customFormat="1" x14ac:dyDescent="0.3">
      <c r="P276" s="3"/>
      <c r="V276" s="3"/>
    </row>
    <row r="277" spans="16:22" s="74" customFormat="1" x14ac:dyDescent="0.3">
      <c r="P277" s="3"/>
      <c r="V277" s="3"/>
    </row>
    <row r="278" spans="16:22" s="74" customFormat="1" x14ac:dyDescent="0.3">
      <c r="P278" s="3"/>
      <c r="V278" s="3"/>
    </row>
    <row r="279" spans="16:22" s="74" customFormat="1" x14ac:dyDescent="0.3">
      <c r="P279" s="3"/>
      <c r="V279" s="3"/>
    </row>
  </sheetData>
  <mergeCells count="18">
    <mergeCell ref="E1:N1"/>
    <mergeCell ref="Q1:V1"/>
    <mergeCell ref="Q2:R2"/>
    <mergeCell ref="S2:T2"/>
    <mergeCell ref="U2:V2"/>
    <mergeCell ref="Q5:R5"/>
    <mergeCell ref="S5:T5"/>
    <mergeCell ref="U5:V5"/>
    <mergeCell ref="E5:F5"/>
    <mergeCell ref="G5:H5"/>
    <mergeCell ref="I5:J5"/>
    <mergeCell ref="K5:L5"/>
    <mergeCell ref="M5:N5"/>
    <mergeCell ref="E2:F2"/>
    <mergeCell ref="G2:H2"/>
    <mergeCell ref="I2:J2"/>
    <mergeCell ref="K2:L2"/>
    <mergeCell ref="M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ifigeneia tziola</dc:creator>
  <cp:lastModifiedBy>ifigeneia tziola</cp:lastModifiedBy>
  <dcterms:created xsi:type="dcterms:W3CDTF">2025-01-24T20:15:01Z</dcterms:created>
  <dcterms:modified xsi:type="dcterms:W3CDTF">2025-01-26T20:17:40Z</dcterms:modified>
</cp:coreProperties>
</file>