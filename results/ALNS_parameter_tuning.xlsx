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0698\Desktop\"/>
    </mc:Choice>
  </mc:AlternateContent>
  <xr:revisionPtr revIDLastSave="0" documentId="13_ncr:1_{8D1C9305-07FA-4BFE-9E9E-36B0039B7DB5}" xr6:coauthVersionLast="47" xr6:coauthVersionMax="47" xr10:uidLastSave="{00000000-0000-0000-0000-000000000000}"/>
  <bookViews>
    <workbookView xWindow="-108" yWindow="-108" windowWidth="23256" windowHeight="12576" firstSheet="1" activeTab="6" xr2:uid="{A146BC3E-C95C-41B3-A641-80C56F3592D0}"/>
  </bookViews>
  <sheets>
    <sheet name="Tuning Parameter w" sheetId="1" r:id="rId1"/>
    <sheet name="cooling rate" sheetId="2" r:id="rId2"/>
    <sheet name="percentage to destroy" sheetId="3" r:id="rId3"/>
    <sheet name="segment size" sheetId="4" r:id="rId4"/>
    <sheet name="scores" sheetId="5" r:id="rId5"/>
    <sheet name="Reaction Factor" sheetId="6" r:id="rId6"/>
    <sheet name="Sheet2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0" i="8" l="1"/>
  <c r="S10" i="8"/>
  <c r="S9" i="8"/>
  <c r="S6" i="8"/>
  <c r="T6" i="8"/>
  <c r="S7" i="8"/>
  <c r="T7" i="8"/>
  <c r="S8" i="8"/>
  <c r="T8" i="8"/>
  <c r="T9" i="8"/>
  <c r="T5" i="8"/>
  <c r="S5" i="8"/>
  <c r="BZ4" i="4" l="1"/>
  <c r="CF4" i="4" s="1"/>
  <c r="BZ5" i="4"/>
  <c r="CF5" i="4" s="1"/>
  <c r="BZ6" i="4"/>
  <c r="CF6" i="4" s="1"/>
  <c r="BZ7" i="4"/>
  <c r="CF7" i="4" s="1"/>
  <c r="R3" i="6"/>
  <c r="CL16" i="5" l="1"/>
  <c r="CL17" i="5"/>
  <c r="CR17" i="5" s="1"/>
  <c r="CL18" i="5"/>
  <c r="CL19" i="5"/>
  <c r="CL15" i="5"/>
  <c r="CL10" i="5"/>
  <c r="CR10" i="5" s="1"/>
  <c r="CL11" i="5"/>
  <c r="CR11" i="5" s="1"/>
  <c r="CL12" i="5"/>
  <c r="CR12" i="5" s="1"/>
  <c r="CL13" i="5"/>
  <c r="CL9" i="5"/>
  <c r="CL4" i="5"/>
  <c r="CR4" i="5" s="1"/>
  <c r="CL5" i="5"/>
  <c r="CR5" i="5" s="1"/>
  <c r="CL6" i="5"/>
  <c r="CL7" i="5"/>
  <c r="CR7" i="5" s="1"/>
  <c r="CL3" i="5"/>
  <c r="CR3" i="5" s="1"/>
  <c r="CM20" i="5"/>
  <c r="CT20" i="5" s="1"/>
  <c r="CN20" i="5"/>
  <c r="CO20" i="5"/>
  <c r="CM14" i="5"/>
  <c r="CT14" i="5" s="1"/>
  <c r="CN14" i="5"/>
  <c r="CO14" i="5"/>
  <c r="CM8" i="5"/>
  <c r="CT8" i="5" s="1"/>
  <c r="CN8" i="5"/>
  <c r="CO8" i="5"/>
  <c r="CD14" i="5"/>
  <c r="CE14" i="5"/>
  <c r="CD20" i="5"/>
  <c r="CE20" i="5"/>
  <c r="CE8" i="5"/>
  <c r="CP14" i="5"/>
  <c r="CQ14" i="5"/>
  <c r="CP20" i="5"/>
  <c r="CQ20" i="5"/>
  <c r="CQ8" i="5"/>
  <c r="BR14" i="5"/>
  <c r="BS14" i="5"/>
  <c r="BR20" i="5"/>
  <c r="BS20" i="5"/>
  <c r="BE14" i="5"/>
  <c r="BF14" i="5"/>
  <c r="BG14" i="5"/>
  <c r="BE20" i="5"/>
  <c r="BF20" i="5"/>
  <c r="BG20" i="5"/>
  <c r="AT20" i="5"/>
  <c r="AU20" i="5"/>
  <c r="AH14" i="5"/>
  <c r="AI14" i="5"/>
  <c r="AH20" i="5"/>
  <c r="AI20" i="5"/>
  <c r="D3" i="5"/>
  <c r="L3" i="5" s="1"/>
  <c r="G14" i="5"/>
  <c r="H14" i="5"/>
  <c r="I14" i="5"/>
  <c r="G20" i="5"/>
  <c r="H20" i="5"/>
  <c r="I20" i="5"/>
  <c r="R16" i="5"/>
  <c r="X16" i="5" s="1"/>
  <c r="R17" i="5"/>
  <c r="X17" i="5" s="1"/>
  <c r="R18" i="5"/>
  <c r="X18" i="5" s="1"/>
  <c r="R19" i="5"/>
  <c r="X19" i="5" s="1"/>
  <c r="R15" i="5"/>
  <c r="X15" i="5" s="1"/>
  <c r="R10" i="5"/>
  <c r="X10" i="5" s="1"/>
  <c r="R11" i="5"/>
  <c r="X11" i="5" s="1"/>
  <c r="R12" i="5"/>
  <c r="X12" i="5" s="1"/>
  <c r="R13" i="5"/>
  <c r="X13" i="5" s="1"/>
  <c r="R9" i="5"/>
  <c r="X9" i="5" s="1"/>
  <c r="R4" i="5"/>
  <c r="X4" i="5" s="1"/>
  <c r="R5" i="5"/>
  <c r="X5" i="5" s="1"/>
  <c r="R6" i="5"/>
  <c r="X6" i="5" s="1"/>
  <c r="R7" i="5"/>
  <c r="X7" i="5" s="1"/>
  <c r="R3" i="5"/>
  <c r="X3" i="5" s="1"/>
  <c r="R3" i="1"/>
  <c r="X3" i="1" s="1"/>
  <c r="AA20" i="5"/>
  <c r="AA14" i="5"/>
  <c r="AA8" i="5"/>
  <c r="W8" i="5"/>
  <c r="W14" i="5"/>
  <c r="W20" i="5"/>
  <c r="D4" i="5"/>
  <c r="L4" i="5" s="1"/>
  <c r="V20" i="5"/>
  <c r="U20" i="5"/>
  <c r="T20" i="5"/>
  <c r="S20" i="5"/>
  <c r="Z20" i="5" s="1"/>
  <c r="V14" i="5"/>
  <c r="U14" i="5"/>
  <c r="T14" i="5"/>
  <c r="S14" i="5"/>
  <c r="Z14" i="5" s="1"/>
  <c r="V8" i="5"/>
  <c r="U8" i="5"/>
  <c r="T8" i="5"/>
  <c r="S8" i="5"/>
  <c r="Z8" i="5" s="1"/>
  <c r="F20" i="5"/>
  <c r="E20" i="5"/>
  <c r="N20" i="5" s="1"/>
  <c r="D19" i="5"/>
  <c r="L19" i="5" s="1"/>
  <c r="D18" i="5"/>
  <c r="L18" i="5" s="1"/>
  <c r="D17" i="5"/>
  <c r="L17" i="5" s="1"/>
  <c r="D16" i="5"/>
  <c r="L16" i="5" s="1"/>
  <c r="D15" i="5"/>
  <c r="L15" i="5" s="1"/>
  <c r="F14" i="5"/>
  <c r="E14" i="5"/>
  <c r="N14" i="5" s="1"/>
  <c r="D13" i="5"/>
  <c r="L13" i="5" s="1"/>
  <c r="D12" i="5"/>
  <c r="L12" i="5" s="1"/>
  <c r="D11" i="5"/>
  <c r="L11" i="5" s="1"/>
  <c r="D10" i="5"/>
  <c r="L10" i="5" s="1"/>
  <c r="D9" i="5"/>
  <c r="L9" i="5" s="1"/>
  <c r="I8" i="5"/>
  <c r="H8" i="5"/>
  <c r="G8" i="5"/>
  <c r="F8" i="5"/>
  <c r="E8" i="5"/>
  <c r="N8" i="5" s="1"/>
  <c r="D7" i="5"/>
  <c r="L7" i="5" s="1"/>
  <c r="D6" i="5"/>
  <c r="L6" i="5" s="1"/>
  <c r="D5" i="5"/>
  <c r="L5" i="5" s="1"/>
  <c r="D3" i="6"/>
  <c r="L3" i="6" s="1"/>
  <c r="D4" i="6"/>
  <c r="D5" i="6"/>
  <c r="L5" i="6" s="1"/>
  <c r="D6" i="6"/>
  <c r="L6" i="6" s="1"/>
  <c r="D7" i="6"/>
  <c r="L7" i="6" s="1"/>
  <c r="CL7" i="6"/>
  <c r="CR7" i="6" s="1"/>
  <c r="BZ7" i="6"/>
  <c r="CF7" i="6" s="1"/>
  <c r="BN7" i="6"/>
  <c r="BT7" i="6" s="1"/>
  <c r="BB7" i="6"/>
  <c r="BH7" i="6" s="1"/>
  <c r="AP7" i="6"/>
  <c r="AV7" i="6" s="1"/>
  <c r="AD7" i="6"/>
  <c r="AJ7" i="6" s="1"/>
  <c r="R7" i="6"/>
  <c r="X7" i="6" s="1"/>
  <c r="CL6" i="6"/>
  <c r="CR6" i="6" s="1"/>
  <c r="BZ6" i="6"/>
  <c r="CF6" i="6" s="1"/>
  <c r="BN6" i="6"/>
  <c r="BT6" i="6" s="1"/>
  <c r="BB6" i="6"/>
  <c r="BH6" i="6" s="1"/>
  <c r="AP6" i="6"/>
  <c r="AV6" i="6" s="1"/>
  <c r="AD6" i="6"/>
  <c r="AJ6" i="6" s="1"/>
  <c r="R6" i="6"/>
  <c r="X6" i="6" s="1"/>
  <c r="CL5" i="6"/>
  <c r="CR5" i="6" s="1"/>
  <c r="BZ5" i="6"/>
  <c r="CF5" i="6" s="1"/>
  <c r="BN5" i="6"/>
  <c r="BT5" i="6" s="1"/>
  <c r="BB5" i="6"/>
  <c r="BH5" i="6" s="1"/>
  <c r="AP5" i="6"/>
  <c r="AV5" i="6" s="1"/>
  <c r="AD5" i="6"/>
  <c r="AJ5" i="6" s="1"/>
  <c r="R5" i="6"/>
  <c r="X5" i="6" s="1"/>
  <c r="CL4" i="6"/>
  <c r="CR4" i="6" s="1"/>
  <c r="BZ4" i="6"/>
  <c r="CF4" i="6" s="1"/>
  <c r="BN4" i="6"/>
  <c r="BT4" i="6" s="1"/>
  <c r="BB4" i="6"/>
  <c r="BH4" i="6" s="1"/>
  <c r="AP4" i="6"/>
  <c r="AV4" i="6" s="1"/>
  <c r="AD4" i="6"/>
  <c r="AJ4" i="6" s="1"/>
  <c r="R4" i="6"/>
  <c r="X4" i="6" s="1"/>
  <c r="L4" i="6"/>
  <c r="CL3" i="6"/>
  <c r="CR3" i="6" s="1"/>
  <c r="BZ3" i="6"/>
  <c r="CF3" i="6" s="1"/>
  <c r="BN3" i="6"/>
  <c r="BT3" i="6" s="1"/>
  <c r="BB3" i="6"/>
  <c r="BH3" i="6" s="1"/>
  <c r="AP3" i="6"/>
  <c r="AV3" i="6" s="1"/>
  <c r="AD3" i="6"/>
  <c r="X3" i="6"/>
  <c r="GY20" i="5"/>
  <c r="GX20" i="5"/>
  <c r="GW20" i="5"/>
  <c r="GV20" i="5"/>
  <c r="CU20" i="5"/>
  <c r="CI20" i="5"/>
  <c r="CC20" i="5"/>
  <c r="CB20" i="5"/>
  <c r="CA20" i="5"/>
  <c r="CH20" i="5" s="1"/>
  <c r="BW20" i="5"/>
  <c r="BQ20" i="5"/>
  <c r="BP20" i="5"/>
  <c r="BO20" i="5"/>
  <c r="BV20" i="5" s="1"/>
  <c r="BK20" i="5"/>
  <c r="BD20" i="5"/>
  <c r="BC20" i="5"/>
  <c r="BJ20" i="5" s="1"/>
  <c r="AY20" i="5"/>
  <c r="AS20" i="5"/>
  <c r="AR20" i="5"/>
  <c r="AQ20" i="5"/>
  <c r="AX20" i="5" s="1"/>
  <c r="AM20" i="5"/>
  <c r="AG20" i="5"/>
  <c r="AF20" i="5"/>
  <c r="AE20" i="5"/>
  <c r="AL20" i="5" s="1"/>
  <c r="O20" i="5"/>
  <c r="CR19" i="5"/>
  <c r="BZ19" i="5"/>
  <c r="CF19" i="5" s="1"/>
  <c r="BN19" i="5"/>
  <c r="BT19" i="5" s="1"/>
  <c r="BB19" i="5"/>
  <c r="BH19" i="5" s="1"/>
  <c r="AP19" i="5"/>
  <c r="AV19" i="5" s="1"/>
  <c r="AD19" i="5"/>
  <c r="AJ19" i="5" s="1"/>
  <c r="CR18" i="5"/>
  <c r="BZ18" i="5"/>
  <c r="CF18" i="5" s="1"/>
  <c r="BN18" i="5"/>
  <c r="BT18" i="5" s="1"/>
  <c r="BB18" i="5"/>
  <c r="BH18" i="5" s="1"/>
  <c r="AP18" i="5"/>
  <c r="AV18" i="5" s="1"/>
  <c r="AD18" i="5"/>
  <c r="AJ18" i="5" s="1"/>
  <c r="BZ17" i="5"/>
  <c r="CF17" i="5" s="1"/>
  <c r="BN17" i="5"/>
  <c r="BT17" i="5" s="1"/>
  <c r="BB17" i="5"/>
  <c r="BH17" i="5" s="1"/>
  <c r="AP17" i="5"/>
  <c r="AV17" i="5" s="1"/>
  <c r="AD17" i="5"/>
  <c r="AJ17" i="5" s="1"/>
  <c r="CR16" i="5"/>
  <c r="BZ16" i="5"/>
  <c r="CF16" i="5" s="1"/>
  <c r="BN16" i="5"/>
  <c r="BT16" i="5" s="1"/>
  <c r="BB16" i="5"/>
  <c r="BH16" i="5" s="1"/>
  <c r="AP16" i="5"/>
  <c r="AV16" i="5" s="1"/>
  <c r="AD16" i="5"/>
  <c r="AJ16" i="5" s="1"/>
  <c r="BZ15" i="5"/>
  <c r="BN15" i="5"/>
  <c r="BB15" i="5"/>
  <c r="BH15" i="5" s="1"/>
  <c r="AP15" i="5"/>
  <c r="AD15" i="5"/>
  <c r="GY14" i="5"/>
  <c r="GX14" i="5"/>
  <c r="GW14" i="5"/>
  <c r="GV14" i="5"/>
  <c r="CU14" i="5"/>
  <c r="CI14" i="5"/>
  <c r="CC14" i="5"/>
  <c r="CB14" i="5"/>
  <c r="CA14" i="5"/>
  <c r="CH14" i="5" s="1"/>
  <c r="BW14" i="5"/>
  <c r="BQ14" i="5"/>
  <c r="BP14" i="5"/>
  <c r="BO14" i="5"/>
  <c r="BV14" i="5" s="1"/>
  <c r="BK14" i="5"/>
  <c r="BD14" i="5"/>
  <c r="BC14" i="5"/>
  <c r="BJ14" i="5" s="1"/>
  <c r="AY14" i="5"/>
  <c r="AU14" i="5"/>
  <c r="AT14" i="5"/>
  <c r="AS14" i="5"/>
  <c r="AR14" i="5"/>
  <c r="AQ14" i="5"/>
  <c r="AX14" i="5" s="1"/>
  <c r="AM14" i="5"/>
  <c r="AG14" i="5"/>
  <c r="AF14" i="5"/>
  <c r="AE14" i="5"/>
  <c r="AL14" i="5" s="1"/>
  <c r="O14" i="5"/>
  <c r="CR13" i="5"/>
  <c r="BZ13" i="5"/>
  <c r="CF13" i="5" s="1"/>
  <c r="BN13" i="5"/>
  <c r="BT13" i="5" s="1"/>
  <c r="BB13" i="5"/>
  <c r="BH13" i="5" s="1"/>
  <c r="AP13" i="5"/>
  <c r="AV13" i="5" s="1"/>
  <c r="AD13" i="5"/>
  <c r="AJ13" i="5" s="1"/>
  <c r="BZ12" i="5"/>
  <c r="CF12" i="5" s="1"/>
  <c r="BN12" i="5"/>
  <c r="BT12" i="5" s="1"/>
  <c r="BB12" i="5"/>
  <c r="BH12" i="5" s="1"/>
  <c r="AP12" i="5"/>
  <c r="AV12" i="5" s="1"/>
  <c r="AD12" i="5"/>
  <c r="AJ12" i="5" s="1"/>
  <c r="BZ11" i="5"/>
  <c r="CF11" i="5" s="1"/>
  <c r="BN11" i="5"/>
  <c r="BT11" i="5" s="1"/>
  <c r="BB11" i="5"/>
  <c r="BH11" i="5" s="1"/>
  <c r="AP11" i="5"/>
  <c r="AV11" i="5" s="1"/>
  <c r="AD11" i="5"/>
  <c r="AJ11" i="5" s="1"/>
  <c r="BZ10" i="5"/>
  <c r="CF10" i="5" s="1"/>
  <c r="BN10" i="5"/>
  <c r="BT10" i="5" s="1"/>
  <c r="BB10" i="5"/>
  <c r="BH10" i="5" s="1"/>
  <c r="AP10" i="5"/>
  <c r="AV10" i="5" s="1"/>
  <c r="AD10" i="5"/>
  <c r="AJ10" i="5" s="1"/>
  <c r="CR9" i="5"/>
  <c r="BZ9" i="5"/>
  <c r="CF9" i="5" s="1"/>
  <c r="BN9" i="5"/>
  <c r="BB9" i="5"/>
  <c r="AP9" i="5"/>
  <c r="AD9" i="5"/>
  <c r="AJ9" i="5" s="1"/>
  <c r="GY8" i="5"/>
  <c r="GX8" i="5"/>
  <c r="GW8" i="5"/>
  <c r="GV8" i="5"/>
  <c r="CU8" i="5"/>
  <c r="CP8" i="5"/>
  <c r="CI8" i="5"/>
  <c r="CD8" i="5"/>
  <c r="CC8" i="5"/>
  <c r="CB8" i="5"/>
  <c r="CA8" i="5"/>
  <c r="CH8" i="5" s="1"/>
  <c r="BW8" i="5"/>
  <c r="BS8" i="5"/>
  <c r="BR8" i="5"/>
  <c r="BQ8" i="5"/>
  <c r="BP8" i="5"/>
  <c r="BO8" i="5"/>
  <c r="BV8" i="5" s="1"/>
  <c r="BK8" i="5"/>
  <c r="BG8" i="5"/>
  <c r="BF8" i="5"/>
  <c r="BE8" i="5"/>
  <c r="BD8" i="5"/>
  <c r="BC8" i="5"/>
  <c r="BJ8" i="5" s="1"/>
  <c r="AY8" i="5"/>
  <c r="AU8" i="5"/>
  <c r="AT8" i="5"/>
  <c r="AS8" i="5"/>
  <c r="AR8" i="5"/>
  <c r="AQ8" i="5"/>
  <c r="AX8" i="5" s="1"/>
  <c r="AM8" i="5"/>
  <c r="AI8" i="5"/>
  <c r="AH8" i="5"/>
  <c r="AG8" i="5"/>
  <c r="AF8" i="5"/>
  <c r="AE8" i="5"/>
  <c r="AL8" i="5" s="1"/>
  <c r="O8" i="5"/>
  <c r="BZ7" i="5"/>
  <c r="CF7" i="5" s="1"/>
  <c r="BN7" i="5"/>
  <c r="BT7" i="5" s="1"/>
  <c r="BB7" i="5"/>
  <c r="BH7" i="5" s="1"/>
  <c r="AP7" i="5"/>
  <c r="AV7" i="5" s="1"/>
  <c r="AD7" i="5"/>
  <c r="AJ7" i="5" s="1"/>
  <c r="CR6" i="5"/>
  <c r="BZ6" i="5"/>
  <c r="CF6" i="5" s="1"/>
  <c r="BN6" i="5"/>
  <c r="BT6" i="5" s="1"/>
  <c r="BB6" i="5"/>
  <c r="BH6" i="5" s="1"/>
  <c r="AP6" i="5"/>
  <c r="AV6" i="5" s="1"/>
  <c r="AD6" i="5"/>
  <c r="AJ6" i="5" s="1"/>
  <c r="BZ5" i="5"/>
  <c r="CF5" i="5" s="1"/>
  <c r="BN5" i="5"/>
  <c r="BT5" i="5" s="1"/>
  <c r="BB5" i="5"/>
  <c r="BH5" i="5" s="1"/>
  <c r="AP5" i="5"/>
  <c r="AV5" i="5" s="1"/>
  <c r="AD5" i="5"/>
  <c r="AJ5" i="5" s="1"/>
  <c r="BZ4" i="5"/>
  <c r="CF4" i="5" s="1"/>
  <c r="BN4" i="5"/>
  <c r="BT4" i="5" s="1"/>
  <c r="BB4" i="5"/>
  <c r="BH4" i="5" s="1"/>
  <c r="AP4" i="5"/>
  <c r="AV4" i="5" s="1"/>
  <c r="AD4" i="5"/>
  <c r="AJ4" i="5" s="1"/>
  <c r="BZ3" i="5"/>
  <c r="BN3" i="5"/>
  <c r="BB3" i="5"/>
  <c r="BH3" i="5" s="1"/>
  <c r="AP3" i="5"/>
  <c r="AD3" i="5"/>
  <c r="AP5" i="1"/>
  <c r="AV5" i="1" s="1"/>
  <c r="AP6" i="1"/>
  <c r="AV6" i="1" s="1"/>
  <c r="BZ4" i="3"/>
  <c r="CF4" i="3" s="1"/>
  <c r="BZ5" i="3"/>
  <c r="CF5" i="3" s="1"/>
  <c r="BZ6" i="3"/>
  <c r="CF6" i="3" s="1"/>
  <c r="BZ7" i="3"/>
  <c r="CF7" i="3" s="1"/>
  <c r="BZ3" i="3"/>
  <c r="CF3" i="3" s="1"/>
  <c r="AP4" i="4"/>
  <c r="AV4" i="4" s="1"/>
  <c r="AP5" i="4"/>
  <c r="AV5" i="4" s="1"/>
  <c r="AP6" i="4"/>
  <c r="AV6" i="4" s="1"/>
  <c r="AP7" i="4"/>
  <c r="AV7" i="4" s="1"/>
  <c r="AP3" i="4"/>
  <c r="AV3" i="4" s="1"/>
  <c r="AD6" i="4"/>
  <c r="AJ6" i="4" s="1"/>
  <c r="R4" i="4"/>
  <c r="X4" i="4" s="1"/>
  <c r="R5" i="4"/>
  <c r="X5" i="4" s="1"/>
  <c r="R6" i="4"/>
  <c r="X6" i="4" s="1"/>
  <c r="R7" i="4"/>
  <c r="X7" i="4" s="1"/>
  <c r="R3" i="4"/>
  <c r="X3" i="4" s="1"/>
  <c r="AD4" i="4"/>
  <c r="AJ4" i="4" s="1"/>
  <c r="AD5" i="4"/>
  <c r="AJ5" i="4" s="1"/>
  <c r="AD3" i="4"/>
  <c r="AJ3" i="4" s="1"/>
  <c r="CL20" i="5" l="1"/>
  <c r="CR20" i="5" s="1"/>
  <c r="AP14" i="5"/>
  <c r="AV14" i="5" s="1"/>
  <c r="Y20" i="5"/>
  <c r="Y14" i="5"/>
  <c r="Y8" i="5"/>
  <c r="D20" i="5"/>
  <c r="L20" i="5" s="1"/>
  <c r="AD8" i="5"/>
  <c r="AJ8" i="5" s="1"/>
  <c r="BB14" i="5"/>
  <c r="BH14" i="5" s="1"/>
  <c r="D8" i="5"/>
  <c r="L8" i="5" s="1"/>
  <c r="BN14" i="5"/>
  <c r="BT14" i="5" s="1"/>
  <c r="BN20" i="5"/>
  <c r="BT20" i="5" s="1"/>
  <c r="D14" i="5"/>
  <c r="L14" i="5" s="1"/>
  <c r="M20" i="5"/>
  <c r="M8" i="5"/>
  <c r="M14" i="5"/>
  <c r="AJ3" i="6"/>
  <c r="CL8" i="5"/>
  <c r="CR8" i="5" s="1"/>
  <c r="BN8" i="5"/>
  <c r="BT8" i="5" s="1"/>
  <c r="AP8" i="5"/>
  <c r="AV8" i="5" s="1"/>
  <c r="AD20" i="5"/>
  <c r="AJ20" i="5" s="1"/>
  <c r="AP20" i="5"/>
  <c r="AV20" i="5" s="1"/>
  <c r="AV3" i="5"/>
  <c r="AW8" i="5" s="1"/>
  <c r="BT9" i="5"/>
  <c r="BU14" i="5" s="1"/>
  <c r="AV15" i="5"/>
  <c r="AW20" i="5" s="1"/>
  <c r="BZ8" i="5"/>
  <c r="CF8" i="5" s="1"/>
  <c r="AK14" i="5"/>
  <c r="BZ20" i="5"/>
  <c r="CF20" i="5" s="1"/>
  <c r="CF3" i="5"/>
  <c r="CG8" i="5" s="1"/>
  <c r="CF15" i="5"/>
  <c r="CG20" i="5" s="1"/>
  <c r="AJ3" i="5"/>
  <c r="AK8" i="5" s="1"/>
  <c r="CS8" i="5"/>
  <c r="BH9" i="5"/>
  <c r="BI14" i="5" s="1"/>
  <c r="AJ15" i="5"/>
  <c r="AK20" i="5" s="1"/>
  <c r="CR15" i="5"/>
  <c r="CS20" i="5" s="1"/>
  <c r="BI8" i="5"/>
  <c r="CG14" i="5"/>
  <c r="BI20" i="5"/>
  <c r="CS14" i="5"/>
  <c r="CL14" i="5"/>
  <c r="CR14" i="5" s="1"/>
  <c r="BT3" i="5"/>
  <c r="BU8" i="5" s="1"/>
  <c r="AV9" i="5"/>
  <c r="AW14" i="5" s="1"/>
  <c r="BT15" i="5"/>
  <c r="BU20" i="5" s="1"/>
  <c r="BB8" i="5"/>
  <c r="BH8" i="5" s="1"/>
  <c r="AD14" i="5"/>
  <c r="AJ14" i="5" s="1"/>
  <c r="BZ14" i="5"/>
  <c r="CF14" i="5" s="1"/>
  <c r="BB20" i="5"/>
  <c r="BH20" i="5" s="1"/>
  <c r="CL7" i="3"/>
  <c r="CR7" i="3" s="1"/>
  <c r="CL6" i="3"/>
  <c r="CR6" i="3" s="1"/>
  <c r="CL5" i="3"/>
  <c r="CR5" i="3" s="1"/>
  <c r="CL4" i="3"/>
  <c r="CR4" i="3" s="1"/>
  <c r="CL3" i="3"/>
  <c r="CR3" i="3" s="1"/>
  <c r="BB3" i="4"/>
  <c r="BH3" i="4" s="1"/>
  <c r="BN3" i="4"/>
  <c r="BT3" i="4" s="1"/>
  <c r="BZ3" i="4"/>
  <c r="CL3" i="4"/>
  <c r="CR3" i="4" s="1"/>
  <c r="BB4" i="4"/>
  <c r="BH4" i="4" s="1"/>
  <c r="BN4" i="4"/>
  <c r="BT4" i="4" s="1"/>
  <c r="CL4" i="4"/>
  <c r="CR4" i="4" s="1"/>
  <c r="BB5" i="4"/>
  <c r="BH5" i="4" s="1"/>
  <c r="BN5" i="4"/>
  <c r="BT5" i="4" s="1"/>
  <c r="CL5" i="4"/>
  <c r="CR5" i="4" s="1"/>
  <c r="BB6" i="4"/>
  <c r="BH6" i="4" s="1"/>
  <c r="BN6" i="4"/>
  <c r="BT6" i="4" s="1"/>
  <c r="CL6" i="4"/>
  <c r="CR6" i="4" s="1"/>
  <c r="AD7" i="4"/>
  <c r="AJ7" i="4" s="1"/>
  <c r="BB7" i="4"/>
  <c r="BH7" i="4" s="1"/>
  <c r="BN7" i="4"/>
  <c r="BT7" i="4" s="1"/>
  <c r="CL7" i="4"/>
  <c r="CR7" i="4" s="1"/>
  <c r="D7" i="4"/>
  <c r="L7" i="4" s="1"/>
  <c r="D6" i="4"/>
  <c r="L6" i="4" s="1"/>
  <c r="D5" i="4"/>
  <c r="L5" i="4" s="1"/>
  <c r="D4" i="4"/>
  <c r="L4" i="4" s="1"/>
  <c r="D3" i="4"/>
  <c r="L3" i="4" s="1"/>
  <c r="BN7" i="3"/>
  <c r="BT7" i="3" s="1"/>
  <c r="BN6" i="3"/>
  <c r="BT6" i="3" s="1"/>
  <c r="BN5" i="3"/>
  <c r="BT5" i="3" s="1"/>
  <c r="BN4" i="3"/>
  <c r="BT4" i="3" s="1"/>
  <c r="BN3" i="3"/>
  <c r="BT3" i="3" s="1"/>
  <c r="BB7" i="3"/>
  <c r="BH7" i="3" s="1"/>
  <c r="BB6" i="3"/>
  <c r="BH6" i="3" s="1"/>
  <c r="BB5" i="3"/>
  <c r="BH5" i="3" s="1"/>
  <c r="BB4" i="3"/>
  <c r="BH4" i="3" s="1"/>
  <c r="BB3" i="3"/>
  <c r="BH3" i="3" s="1"/>
  <c r="AP7" i="3"/>
  <c r="AV7" i="3" s="1"/>
  <c r="AP6" i="3"/>
  <c r="AV6" i="3" s="1"/>
  <c r="AP5" i="3"/>
  <c r="AV5" i="3" s="1"/>
  <c r="AP4" i="3"/>
  <c r="AV4" i="3" s="1"/>
  <c r="AP3" i="3"/>
  <c r="AD7" i="3"/>
  <c r="AJ7" i="3" s="1"/>
  <c r="AD6" i="3"/>
  <c r="AJ6" i="3" s="1"/>
  <c r="AD5" i="3"/>
  <c r="AJ5" i="3" s="1"/>
  <c r="AD4" i="3"/>
  <c r="AJ4" i="3" s="1"/>
  <c r="AD3" i="3"/>
  <c r="AJ3" i="3" s="1"/>
  <c r="R7" i="3"/>
  <c r="X7" i="3" s="1"/>
  <c r="R6" i="3"/>
  <c r="X6" i="3" s="1"/>
  <c r="R5" i="3"/>
  <c r="X5" i="3" s="1"/>
  <c r="R4" i="3"/>
  <c r="X4" i="3" s="1"/>
  <c r="R3" i="3"/>
  <c r="X3" i="3" s="1"/>
  <c r="D7" i="3"/>
  <c r="L7" i="3" s="1"/>
  <c r="D6" i="3"/>
  <c r="L6" i="3" s="1"/>
  <c r="D5" i="3"/>
  <c r="L5" i="3" s="1"/>
  <c r="D4" i="3"/>
  <c r="L4" i="3" s="1"/>
  <c r="D3" i="3"/>
  <c r="L3" i="3" s="1"/>
  <c r="R7" i="2"/>
  <c r="X7" i="2" s="1"/>
  <c r="R6" i="2"/>
  <c r="X6" i="2" s="1"/>
  <c r="R5" i="2"/>
  <c r="X5" i="2" s="1"/>
  <c r="R4" i="2"/>
  <c r="X4" i="2" s="1"/>
  <c r="R3" i="2"/>
  <c r="X3" i="2" s="1"/>
  <c r="D7" i="2"/>
  <c r="L7" i="2" s="1"/>
  <c r="CL7" i="2"/>
  <c r="CR7" i="2" s="1"/>
  <c r="CL6" i="2"/>
  <c r="CR6" i="2" s="1"/>
  <c r="CL5" i="2"/>
  <c r="CR5" i="2" s="1"/>
  <c r="CL4" i="2"/>
  <c r="CR4" i="2" s="1"/>
  <c r="CL3" i="2"/>
  <c r="CR3" i="2" s="1"/>
  <c r="BZ7" i="2"/>
  <c r="CF7" i="2" s="1"/>
  <c r="BZ6" i="2"/>
  <c r="CF6" i="2" s="1"/>
  <c r="BZ5" i="2"/>
  <c r="CF5" i="2" s="1"/>
  <c r="BZ4" i="2"/>
  <c r="CF4" i="2" s="1"/>
  <c r="BZ3" i="2"/>
  <c r="CF3" i="2" s="1"/>
  <c r="BN7" i="2"/>
  <c r="BT7" i="2" s="1"/>
  <c r="BN6" i="2"/>
  <c r="BT6" i="2" s="1"/>
  <c r="BN5" i="2"/>
  <c r="BT5" i="2" s="1"/>
  <c r="BN4" i="2"/>
  <c r="BT4" i="2" s="1"/>
  <c r="BN3" i="2"/>
  <c r="BT3" i="2" s="1"/>
  <c r="BB7" i="2"/>
  <c r="BH7" i="2" s="1"/>
  <c r="BB6" i="2"/>
  <c r="BH6" i="2" s="1"/>
  <c r="BB5" i="2"/>
  <c r="BH5" i="2" s="1"/>
  <c r="BB4" i="2"/>
  <c r="BH4" i="2" s="1"/>
  <c r="BB3" i="2"/>
  <c r="BH3" i="2" s="1"/>
  <c r="AP7" i="2"/>
  <c r="AV7" i="2" s="1"/>
  <c r="AP6" i="2"/>
  <c r="AV6" i="2" s="1"/>
  <c r="AP5" i="2"/>
  <c r="AV5" i="2" s="1"/>
  <c r="AP4" i="2"/>
  <c r="AV4" i="2" s="1"/>
  <c r="AP3" i="2"/>
  <c r="AV3" i="2" s="1"/>
  <c r="AD7" i="2"/>
  <c r="AJ7" i="2" s="1"/>
  <c r="AD6" i="2"/>
  <c r="AJ6" i="2" s="1"/>
  <c r="AD5" i="2"/>
  <c r="AJ5" i="2" s="1"/>
  <c r="AD4" i="2"/>
  <c r="AJ4" i="2" s="1"/>
  <c r="AD3" i="2"/>
  <c r="AJ3" i="2" s="1"/>
  <c r="D4" i="2"/>
  <c r="L4" i="2" s="1"/>
  <c r="D6" i="2"/>
  <c r="L6" i="2" s="1"/>
  <c r="D5" i="2"/>
  <c r="L5" i="2" s="1"/>
  <c r="D3" i="2"/>
  <c r="L3" i="2" s="1"/>
  <c r="GY38" i="3"/>
  <c r="GX38" i="3"/>
  <c r="GW38" i="3"/>
  <c r="GV38" i="3"/>
  <c r="GY32" i="3"/>
  <c r="GX32" i="3"/>
  <c r="GW32" i="3"/>
  <c r="GV32" i="3"/>
  <c r="GY26" i="3"/>
  <c r="GX26" i="3"/>
  <c r="GW26" i="3"/>
  <c r="GV26" i="3"/>
  <c r="GY20" i="3"/>
  <c r="GX20" i="3"/>
  <c r="GW20" i="3"/>
  <c r="GV20" i="3"/>
  <c r="GY14" i="3"/>
  <c r="GX14" i="3"/>
  <c r="GW14" i="3"/>
  <c r="GV14" i="3"/>
  <c r="CL7" i="1"/>
  <c r="CR7" i="1" s="1"/>
  <c r="CL6" i="1"/>
  <c r="CR6" i="1" s="1"/>
  <c r="CL5" i="1"/>
  <c r="CR5" i="1" s="1"/>
  <c r="CL4" i="1"/>
  <c r="CR4" i="1" s="1"/>
  <c r="CL3" i="1"/>
  <c r="CR3" i="1" s="1"/>
  <c r="BZ7" i="1"/>
  <c r="CF7" i="1" s="1"/>
  <c r="BZ6" i="1"/>
  <c r="CF6" i="1" s="1"/>
  <c r="BZ5" i="1"/>
  <c r="CF5" i="1" s="1"/>
  <c r="BZ4" i="1"/>
  <c r="CF4" i="1" s="1"/>
  <c r="BZ3" i="1"/>
  <c r="CF3" i="1" s="1"/>
  <c r="BN7" i="1"/>
  <c r="BT7" i="1" s="1"/>
  <c r="BN6" i="1"/>
  <c r="BT6" i="1" s="1"/>
  <c r="BN5" i="1"/>
  <c r="BT5" i="1" s="1"/>
  <c r="BN4" i="1"/>
  <c r="BT4" i="1" s="1"/>
  <c r="BN3" i="1"/>
  <c r="BT3" i="1" s="1"/>
  <c r="BB7" i="1"/>
  <c r="BH7" i="1" s="1"/>
  <c r="BB6" i="1"/>
  <c r="BH6" i="1" s="1"/>
  <c r="BB5" i="1"/>
  <c r="BH5" i="1" s="1"/>
  <c r="BB4" i="1"/>
  <c r="BH4" i="1" s="1"/>
  <c r="BB3" i="1"/>
  <c r="BH3" i="1" s="1"/>
  <c r="AP7" i="1"/>
  <c r="AV7" i="1" s="1"/>
  <c r="AP4" i="1"/>
  <c r="AV4" i="1" s="1"/>
  <c r="AP3" i="1"/>
  <c r="AD7" i="1"/>
  <c r="AJ7" i="1" s="1"/>
  <c r="AD6" i="1"/>
  <c r="AJ6" i="1" s="1"/>
  <c r="AD5" i="1"/>
  <c r="AJ5" i="1" s="1"/>
  <c r="AD4" i="1"/>
  <c r="AJ4" i="1" s="1"/>
  <c r="AD3" i="1"/>
  <c r="AJ3" i="1" s="1"/>
  <c r="R4" i="1"/>
  <c r="X4" i="1" s="1"/>
  <c r="R7" i="1"/>
  <c r="X7" i="1" s="1"/>
  <c r="R6" i="1"/>
  <c r="X6" i="1" s="1"/>
  <c r="R5" i="1"/>
  <c r="X5" i="1" s="1"/>
  <c r="D4" i="1"/>
  <c r="L4" i="1" s="1"/>
  <c r="D5" i="1"/>
  <c r="L5" i="1" s="1"/>
  <c r="D6" i="1"/>
  <c r="L6" i="1" s="1"/>
  <c r="D7" i="1"/>
  <c r="L7" i="1" s="1"/>
  <c r="D3" i="1"/>
  <c r="L3" i="1" s="1"/>
  <c r="CF3" i="4" l="1"/>
  <c r="AV3" i="3"/>
  <c r="AV3" i="1"/>
  <c r="R14" i="5" l="1"/>
  <c r="X14" i="5" s="1"/>
  <c r="R20" i="5"/>
  <c r="X20" i="5" s="1"/>
  <c r="R8" i="5"/>
  <c r="X8" i="5" s="1"/>
</calcChain>
</file>

<file path=xl/sharedStrings.xml><?xml version="1.0" encoding="utf-8"?>
<sst xmlns="http://schemas.openxmlformats.org/spreadsheetml/2006/main" count="832" uniqueCount="69">
  <si>
    <t>Dataset</t>
  </si>
  <si>
    <t>05_16</t>
  </si>
  <si>
    <t>06_16</t>
  </si>
  <si>
    <t>09</t>
  </si>
  <si>
    <t>02</t>
  </si>
  <si>
    <t>03</t>
  </si>
  <si>
    <t>0.01</t>
  </si>
  <si>
    <t>0.05</t>
  </si>
  <si>
    <t>0.025</t>
  </si>
  <si>
    <t>0.075</t>
  </si>
  <si>
    <t>0.1</t>
  </si>
  <si>
    <t>Total Distance</t>
  </si>
  <si>
    <t>Total time</t>
  </si>
  <si>
    <t>Total Waiting Time</t>
  </si>
  <si>
    <t>Total Early Violations</t>
  </si>
  <si>
    <t>Total Late Violations</t>
  </si>
  <si>
    <t>08_02_MODIFIED</t>
  </si>
  <si>
    <t>10</t>
  </si>
  <si>
    <t>std d</t>
  </si>
  <si>
    <t>std obj</t>
  </si>
  <si>
    <t>obj. value</t>
  </si>
  <si>
    <t>improvement obj</t>
  </si>
  <si>
    <t xml:space="preserve">improvement d </t>
  </si>
  <si>
    <t>initial solution</t>
  </si>
  <si>
    <t>01B</t>
  </si>
  <si>
    <t>0.9999</t>
  </si>
  <si>
    <t>0.99975</t>
  </si>
  <si>
    <t>0.9995</t>
  </si>
  <si>
    <t>0.99925</t>
  </si>
  <si>
    <t>0.995</t>
  </si>
  <si>
    <t>0.25</t>
  </si>
  <si>
    <t>0.3</t>
  </si>
  <si>
    <t>0.35</t>
  </si>
  <si>
    <t>0.4</t>
  </si>
  <si>
    <t>0.45</t>
  </si>
  <si>
    <t>0.99</t>
  </si>
  <si>
    <t>50</t>
  </si>
  <si>
    <t>75</t>
  </si>
  <si>
    <t>100</t>
  </si>
  <si>
    <t>150</t>
  </si>
  <si>
    <t>125</t>
  </si>
  <si>
    <t>13534.0</t>
  </si>
  <si>
    <t>13534.1</t>
  </si>
  <si>
    <t>13534.2</t>
  </si>
  <si>
    <t>13534.3</t>
  </si>
  <si>
    <t>13534.4</t>
  </si>
  <si>
    <t>initial distance</t>
  </si>
  <si>
    <t>σ1, σ2, σ3 = [15, 10, 1]</t>
  </si>
  <si>
    <t>σ1, σ2, σ3 = [20, 10, 5]</t>
  </si>
  <si>
    <t>σ1, σ2, σ3 = [25, 15, 5]</t>
  </si>
  <si>
    <t>0.15</t>
  </si>
  <si>
    <t>0.2</t>
  </si>
  <si>
    <t>0.5</t>
  </si>
  <si>
    <t>sum improvement</t>
  </si>
  <si>
    <t>sum std</t>
  </si>
  <si>
    <t>ζ</t>
  </si>
  <si>
    <t>avg. improvement</t>
  </si>
  <si>
    <t>avg. std</t>
  </si>
  <si>
    <t>Instance</t>
  </si>
  <si>
    <t>w</t>
  </si>
  <si>
    <r>
      <t>d_</t>
    </r>
    <r>
      <rPr>
        <b/>
        <sz val="8"/>
        <color theme="1"/>
        <rFont val="Aptos Narrow"/>
        <family val="2"/>
        <scheme val="minor"/>
      </rPr>
      <t>perc</t>
    </r>
  </si>
  <si>
    <t>seg</t>
  </si>
  <si>
    <t>σ1, σ2, σ3</t>
  </si>
  <si>
    <t>r</t>
  </si>
  <si>
    <t>restarting gap</t>
  </si>
  <si>
    <t>08.02.modified</t>
  </si>
  <si>
    <t>avg imp</t>
  </si>
  <si>
    <t>avg std</t>
  </si>
  <si>
    <t>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</si>
</sst>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theme="1"/>
      <name val="Aptos"/>
      <family val="2"/>
    </font>
    <font>
      <sz val="12"/>
      <color theme="1"/>
      <name val="Aptos"/>
      <family val="2"/>
    </font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166">
    <xf numFmtId="0" fontId="0" fillId="0" borderId="0" xfId="0"/>
    <xf numFmtId="0" fontId="0" fillId="0" borderId="0" xfId="0" applyAlignment="1">
      <alignment vertical="center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/>
    </xf>
    <xf numFmtId="0" fontId="0" fillId="2" borderId="0" xfId="0" applyFill="1"/>
    <xf numFmtId="0" fontId="0" fillId="0" borderId="5" xfId="0" applyBorder="1"/>
    <xf numFmtId="0" fontId="0" fillId="0" borderId="6" xfId="0" applyBorder="1"/>
    <xf numFmtId="0" fontId="0" fillId="2" borderId="5" xfId="0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49" fontId="0" fillId="0" borderId="13" xfId="0" applyNumberFormat="1" applyBorder="1" applyAlignment="1">
      <alignment horizontal="center" vertical="center" wrapText="1"/>
    </xf>
    <xf numFmtId="49" fontId="1" fillId="2" borderId="13" xfId="0" applyNumberFormat="1" applyFont="1" applyFill="1" applyBorder="1" applyAlignment="1">
      <alignment horizontal="center" vertical="center" wrapText="1"/>
    </xf>
    <xf numFmtId="49" fontId="1" fillId="2" borderId="14" xfId="0" applyNumberFormat="1" applyFont="1" applyFill="1" applyBorder="1" applyAlignment="1">
      <alignment horizontal="center" vertical="center" wrapText="1"/>
    </xf>
    <xf numFmtId="0" fontId="0" fillId="0" borderId="10" xfId="0" applyBorder="1"/>
    <xf numFmtId="49" fontId="0" fillId="0" borderId="5" xfId="0" applyNumberFormat="1" applyBorder="1" applyAlignment="1">
      <alignment horizontal="center" vertical="center" wrapText="1"/>
    </xf>
    <xf numFmtId="49" fontId="1" fillId="2" borderId="5" xfId="0" applyNumberFormat="1" applyFont="1" applyFill="1" applyBorder="1" applyAlignment="1">
      <alignment horizontal="center" vertical="center" wrapText="1"/>
    </xf>
    <xf numFmtId="10" fontId="0" fillId="2" borderId="0" xfId="0" applyNumberFormat="1" applyFill="1"/>
    <xf numFmtId="0" fontId="0" fillId="0" borderId="3" xfId="0" applyBorder="1"/>
    <xf numFmtId="0" fontId="0" fillId="0" borderId="4" xfId="0" applyBorder="1"/>
    <xf numFmtId="0" fontId="0" fillId="0" borderId="5" xfId="0" applyBorder="1" applyAlignment="1">
      <alignment horizontal="center" vertical="center" wrapText="1"/>
    </xf>
    <xf numFmtId="2" fontId="0" fillId="0" borderId="5" xfId="0" applyNumberFormat="1" applyBorder="1" applyAlignment="1">
      <alignment horizontal="center" vertical="center" wrapText="1"/>
    </xf>
    <xf numFmtId="2" fontId="0" fillId="2" borderId="5" xfId="0" applyNumberForma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0" fontId="0" fillId="0" borderId="0" xfId="0" applyNumberFormat="1"/>
    <xf numFmtId="0" fontId="0" fillId="0" borderId="5" xfId="0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vertical="center"/>
    </xf>
    <xf numFmtId="0" fontId="0" fillId="3" borderId="5" xfId="0" applyFill="1" applyBorder="1"/>
    <xf numFmtId="2" fontId="0" fillId="3" borderId="5" xfId="0" applyNumberFormat="1" applyFill="1" applyBorder="1" applyAlignment="1">
      <alignment horizontal="center" vertical="center" wrapText="1"/>
    </xf>
    <xf numFmtId="0" fontId="0" fillId="3" borderId="0" xfId="0" applyFill="1"/>
    <xf numFmtId="49" fontId="0" fillId="3" borderId="13" xfId="0" applyNumberFormat="1" applyFill="1" applyBorder="1" applyAlignment="1">
      <alignment horizontal="center" vertical="center" wrapText="1"/>
    </xf>
    <xf numFmtId="0" fontId="0" fillId="3" borderId="7" xfId="0" applyFill="1" applyBorder="1"/>
    <xf numFmtId="0" fontId="0" fillId="3" borderId="8" xfId="0" applyFill="1" applyBorder="1"/>
    <xf numFmtId="0" fontId="1" fillId="2" borderId="13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vertical="center"/>
    </xf>
    <xf numFmtId="0" fontId="1" fillId="2" borderId="5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10" fontId="0" fillId="0" borderId="11" xfId="0" applyNumberFormat="1" applyBorder="1" applyAlignment="1">
      <alignment horizontal="center" vertical="center"/>
    </xf>
    <xf numFmtId="10" fontId="0" fillId="0" borderId="2" xfId="0" applyNumberFormat="1" applyBorder="1"/>
    <xf numFmtId="10" fontId="0" fillId="0" borderId="0" xfId="1" applyNumberFormat="1" applyFont="1"/>
    <xf numFmtId="10" fontId="0" fillId="0" borderId="11" xfId="1" applyNumberFormat="1" applyFont="1" applyBorder="1" applyAlignment="1">
      <alignment horizontal="center" vertical="center"/>
    </xf>
    <xf numFmtId="10" fontId="0" fillId="0" borderId="3" xfId="1" applyNumberFormat="1" applyFont="1" applyBorder="1"/>
    <xf numFmtId="2" fontId="0" fillId="0" borderId="0" xfId="0" applyNumberFormat="1" applyAlignment="1">
      <alignment horizontal="center" vertical="center" wrapText="1"/>
    </xf>
    <xf numFmtId="10" fontId="0" fillId="0" borderId="5" xfId="0" applyNumberFormat="1" applyBorder="1"/>
    <xf numFmtId="10" fontId="0" fillId="0" borderId="0" xfId="1" applyNumberFormat="1" applyFont="1" applyBorder="1"/>
    <xf numFmtId="49" fontId="1" fillId="2" borderId="16" xfId="0" applyNumberFormat="1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2" fontId="0" fillId="2" borderId="17" xfId="0" applyNumberFormat="1" applyFill="1" applyBorder="1" applyAlignment="1">
      <alignment horizontal="center" vertical="center" wrapText="1"/>
    </xf>
    <xf numFmtId="0" fontId="0" fillId="2" borderId="18" xfId="0" applyFill="1" applyBorder="1"/>
    <xf numFmtId="2" fontId="0" fillId="3" borderId="17" xfId="0" applyNumberFormat="1" applyFill="1" applyBorder="1" applyAlignment="1">
      <alignment horizontal="center" vertical="center" wrapText="1"/>
    </xf>
    <xf numFmtId="0" fontId="0" fillId="3" borderId="18" xfId="0" applyFill="1" applyBorder="1"/>
    <xf numFmtId="0" fontId="1" fillId="0" borderId="0" xfId="0" applyFont="1"/>
    <xf numFmtId="0" fontId="1" fillId="0" borderId="10" xfId="0" applyFont="1" applyBorder="1"/>
    <xf numFmtId="0" fontId="1" fillId="0" borderId="5" xfId="0" applyFont="1" applyBorder="1" applyAlignment="1">
      <alignment horizontal="center" vertical="center" wrapText="1"/>
    </xf>
    <xf numFmtId="49" fontId="1" fillId="0" borderId="5" xfId="0" applyNumberFormat="1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2" fontId="0" fillId="4" borderId="17" xfId="0" applyNumberFormat="1" applyFill="1" applyBorder="1" applyAlignment="1">
      <alignment horizontal="center" vertical="center" wrapText="1"/>
    </xf>
    <xf numFmtId="0" fontId="0" fillId="4" borderId="18" xfId="0" applyFill="1" applyBorder="1"/>
    <xf numFmtId="49" fontId="1" fillId="3" borderId="13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0" fontId="0" fillId="0" borderId="0" xfId="1" applyNumberFormat="1" applyFont="1" applyFill="1" applyBorder="1"/>
    <xf numFmtId="10" fontId="0" fillId="0" borderId="6" xfId="0" applyNumberFormat="1" applyBorder="1"/>
    <xf numFmtId="0" fontId="0" fillId="0" borderId="8" xfId="0" applyBorder="1"/>
    <xf numFmtId="10" fontId="0" fillId="0" borderId="8" xfId="0" applyNumberFormat="1" applyBorder="1"/>
    <xf numFmtId="10" fontId="0" fillId="0" borderId="9" xfId="0" applyNumberFormat="1" applyBorder="1"/>
    <xf numFmtId="49" fontId="1" fillId="3" borderId="14" xfId="0" applyNumberFormat="1" applyFont="1" applyFill="1" applyBorder="1" applyAlignment="1">
      <alignment horizontal="center" vertical="center" wrapText="1"/>
    </xf>
    <xf numFmtId="10" fontId="0" fillId="3" borderId="0" xfId="0" applyNumberFormat="1" applyFill="1"/>
    <xf numFmtId="49" fontId="1" fillId="3" borderId="16" xfId="0" applyNumberFormat="1" applyFont="1" applyFill="1" applyBorder="1" applyAlignment="1">
      <alignment horizontal="center" vertical="center" wrapText="1"/>
    </xf>
    <xf numFmtId="10" fontId="0" fillId="0" borderId="3" xfId="1" applyNumberFormat="1" applyFont="1" applyFill="1" applyBorder="1"/>
    <xf numFmtId="0" fontId="0" fillId="0" borderId="0" xfId="0" applyAlignment="1">
      <alignment wrapText="1"/>
    </xf>
    <xf numFmtId="10" fontId="1" fillId="0" borderId="0" xfId="0" applyNumberFormat="1" applyFont="1"/>
    <xf numFmtId="10" fontId="7" fillId="0" borderId="0" xfId="0" applyNumberFormat="1" applyFont="1"/>
    <xf numFmtId="10" fontId="8" fillId="0" borderId="0" xfId="0" applyNumberFormat="1" applyFont="1"/>
    <xf numFmtId="10" fontId="1" fillId="3" borderId="0" xfId="0" applyNumberFormat="1" applyFont="1" applyFill="1"/>
    <xf numFmtId="0" fontId="1" fillId="0" borderId="15" xfId="0" applyFont="1" applyBorder="1" applyAlignment="1">
      <alignment horizontal="center"/>
    </xf>
    <xf numFmtId="0" fontId="0" fillId="0" borderId="7" xfId="0" applyBorder="1"/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14" xfId="0" applyFont="1" applyBorder="1" applyAlignment="1">
      <alignment horizontal="center"/>
    </xf>
    <xf numFmtId="49" fontId="3" fillId="2" borderId="10" xfId="0" applyNumberFormat="1" applyFont="1" applyFill="1" applyBorder="1" applyAlignment="1">
      <alignment vertical="center" wrapText="1"/>
    </xf>
    <xf numFmtId="49" fontId="3" fillId="2" borderId="11" xfId="0" applyNumberFormat="1" applyFont="1" applyFill="1" applyBorder="1" applyAlignment="1">
      <alignment vertical="center" wrapText="1"/>
    </xf>
    <xf numFmtId="49" fontId="3" fillId="2" borderId="12" xfId="0" applyNumberFormat="1" applyFont="1" applyFill="1" applyBorder="1" applyAlignment="1">
      <alignment vertical="center" wrapText="1"/>
    </xf>
    <xf numFmtId="49" fontId="3" fillId="0" borderId="11" xfId="0" applyNumberFormat="1" applyFont="1" applyBorder="1" applyAlignment="1">
      <alignment vertical="center" wrapText="1"/>
    </xf>
    <xf numFmtId="49" fontId="3" fillId="2" borderId="10" xfId="0" applyNumberFormat="1" applyFont="1" applyFill="1" applyBorder="1" applyAlignment="1">
      <alignment vertical="center"/>
    </xf>
    <xf numFmtId="49" fontId="3" fillId="2" borderId="11" xfId="0" applyNumberFormat="1" applyFont="1" applyFill="1" applyBorder="1" applyAlignment="1">
      <alignment vertical="center"/>
    </xf>
    <xf numFmtId="49" fontId="3" fillId="2" borderId="12" xfId="0" applyNumberFormat="1" applyFont="1" applyFill="1" applyBorder="1" applyAlignment="1">
      <alignment vertical="center"/>
    </xf>
    <xf numFmtId="49" fontId="3" fillId="0" borderId="11" xfId="0" applyNumberFormat="1" applyFont="1" applyBorder="1" applyAlignment="1">
      <alignment vertical="center"/>
    </xf>
    <xf numFmtId="49" fontId="3" fillId="2" borderId="7" xfId="0" applyNumberFormat="1" applyFont="1" applyFill="1" applyBorder="1" applyAlignment="1">
      <alignment vertical="center"/>
    </xf>
    <xf numFmtId="49" fontId="3" fillId="2" borderId="8" xfId="0" applyNumberFormat="1" applyFont="1" applyFill="1" applyBorder="1" applyAlignment="1">
      <alignment vertical="center"/>
    </xf>
    <xf numFmtId="49" fontId="3" fillId="2" borderId="9" xfId="0" applyNumberFormat="1" applyFont="1" applyFill="1" applyBorder="1" applyAlignment="1">
      <alignment vertical="center"/>
    </xf>
    <xf numFmtId="49" fontId="3" fillId="0" borderId="8" xfId="0" applyNumberFormat="1" applyFont="1" applyBorder="1" applyAlignment="1">
      <alignment vertical="center"/>
    </xf>
    <xf numFmtId="10" fontId="0" fillId="0" borderId="8" xfId="0" applyNumberFormat="1" applyBorder="1" applyAlignment="1">
      <alignment horizontal="center" vertical="center"/>
    </xf>
    <xf numFmtId="10" fontId="0" fillId="0" borderId="8" xfId="1" applyNumberFormat="1" applyFont="1" applyBorder="1" applyAlignment="1">
      <alignment horizontal="center" vertical="center"/>
    </xf>
    <xf numFmtId="0" fontId="0" fillId="0" borderId="11" xfId="0" applyBorder="1"/>
    <xf numFmtId="0" fontId="0" fillId="0" borderId="12" xfId="0" applyBorder="1"/>
    <xf numFmtId="10" fontId="1" fillId="3" borderId="6" xfId="0" applyNumberFormat="1" applyFont="1" applyFill="1" applyBorder="1"/>
    <xf numFmtId="0" fontId="1" fillId="2" borderId="7" xfId="0" applyFont="1" applyFill="1" applyBorder="1" applyAlignment="1">
      <alignment horizontal="center" vertical="center" wrapText="1"/>
    </xf>
    <xf numFmtId="2" fontId="0" fillId="2" borderId="7" xfId="0" applyNumberFormat="1" applyFill="1" applyBorder="1" applyAlignment="1">
      <alignment horizontal="center" vertical="center" wrapText="1"/>
    </xf>
    <xf numFmtId="10" fontId="0" fillId="0" borderId="8" xfId="1" applyNumberFormat="1" applyFont="1" applyFill="1" applyBorder="1"/>
    <xf numFmtId="0" fontId="1" fillId="0" borderId="8" xfId="0" applyFont="1" applyBorder="1" applyAlignment="1">
      <alignment horizontal="center" vertical="center" wrapText="1"/>
    </xf>
    <xf numFmtId="2" fontId="0" fillId="0" borderId="8" xfId="0" applyNumberFormat="1" applyBorder="1" applyAlignment="1">
      <alignment horizontal="center" vertical="center" wrapText="1"/>
    </xf>
    <xf numFmtId="10" fontId="7" fillId="0" borderId="8" xfId="0" applyNumberFormat="1" applyFont="1" applyBorder="1"/>
    <xf numFmtId="49" fontId="3" fillId="2" borderId="2" xfId="0" applyNumberFormat="1" applyFont="1" applyFill="1" applyBorder="1" applyAlignment="1">
      <alignment vertical="center"/>
    </xf>
    <xf numFmtId="49" fontId="3" fillId="2" borderId="3" xfId="0" applyNumberFormat="1" applyFont="1" applyFill="1" applyBorder="1" applyAlignment="1">
      <alignment vertical="center"/>
    </xf>
    <xf numFmtId="49" fontId="3" fillId="0" borderId="3" xfId="0" applyNumberFormat="1" applyFont="1" applyBorder="1" applyAlignment="1">
      <alignment vertical="center"/>
    </xf>
    <xf numFmtId="49" fontId="3" fillId="2" borderId="4" xfId="0" applyNumberFormat="1" applyFont="1" applyFill="1" applyBorder="1" applyAlignment="1">
      <alignment vertical="center"/>
    </xf>
    <xf numFmtId="49" fontId="1" fillId="2" borderId="15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2" fontId="0" fillId="2" borderId="2" xfId="0" applyNumberFormat="1" applyFill="1" applyBorder="1" applyAlignment="1">
      <alignment horizontal="center" vertical="center" wrapText="1"/>
    </xf>
    <xf numFmtId="0" fontId="0" fillId="2" borderId="3" xfId="0" applyFill="1" applyBorder="1"/>
    <xf numFmtId="10" fontId="0" fillId="0" borderId="3" xfId="0" applyNumberFormat="1" applyBorder="1"/>
    <xf numFmtId="10" fontId="7" fillId="0" borderId="3" xfId="0" applyNumberFormat="1" applyFont="1" applyBorder="1"/>
    <xf numFmtId="0" fontId="1" fillId="0" borderId="3" xfId="0" applyFont="1" applyBorder="1" applyAlignment="1">
      <alignment horizontal="center" vertical="center" wrapText="1"/>
    </xf>
    <xf numFmtId="2" fontId="0" fillId="0" borderId="3" xfId="0" applyNumberFormat="1" applyBorder="1" applyAlignment="1">
      <alignment horizontal="center" vertical="center" wrapText="1"/>
    </xf>
    <xf numFmtId="10" fontId="0" fillId="0" borderId="4" xfId="0" applyNumberFormat="1" applyBorder="1"/>
    <xf numFmtId="10" fontId="7" fillId="0" borderId="6" xfId="0" applyNumberFormat="1" applyFont="1" applyBorder="1"/>
    <xf numFmtId="10" fontId="1" fillId="0" borderId="6" xfId="0" applyNumberFormat="1" applyFont="1" applyBorder="1"/>
    <xf numFmtId="10" fontId="1" fillId="0" borderId="8" xfId="0" applyNumberFormat="1" applyFont="1" applyBorder="1"/>
    <xf numFmtId="0" fontId="1" fillId="0" borderId="14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3" fillId="2" borderId="11" xfId="0" applyNumberFormat="1" applyFont="1" applyFill="1" applyBorder="1" applyAlignment="1">
      <alignment horizontal="center" vertical="center" wrapText="1"/>
    </xf>
    <xf numFmtId="49" fontId="3" fillId="0" borderId="11" xfId="0" applyNumberFormat="1" applyFont="1" applyBorder="1" applyAlignment="1">
      <alignment horizontal="center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49" fontId="3" fillId="2" borderId="10" xfId="0" applyNumberFormat="1" applyFont="1" applyFill="1" applyBorder="1" applyAlignment="1">
      <alignment horizontal="center" vertical="center" wrapText="1"/>
    </xf>
    <xf numFmtId="49" fontId="3" fillId="0" borderId="10" xfId="0" applyNumberFormat="1" applyFont="1" applyBorder="1" applyAlignment="1">
      <alignment horizontal="center" vertical="center" wrapText="1"/>
    </xf>
    <xf numFmtId="49" fontId="3" fillId="2" borderId="3" xfId="0" applyNumberFormat="1" applyFont="1" applyFill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49" fontId="3" fillId="2" borderId="2" xfId="0" applyNumberFormat="1" applyFont="1" applyFill="1" applyBorder="1" applyAlignment="1">
      <alignment horizontal="center" vertical="center" wrapText="1"/>
    </xf>
    <xf numFmtId="49" fontId="3" fillId="0" borderId="7" xfId="0" applyNumberFormat="1" applyFont="1" applyBorder="1" applyAlignment="1">
      <alignment horizontal="center" vertical="center" wrapText="1"/>
    </xf>
    <xf numFmtId="49" fontId="3" fillId="0" borderId="8" xfId="0" applyNumberFormat="1" applyFont="1" applyBorder="1" applyAlignment="1">
      <alignment horizontal="center" vertical="center" wrapText="1"/>
    </xf>
    <xf numFmtId="49" fontId="3" fillId="0" borderId="9" xfId="0" applyNumberFormat="1" applyFont="1" applyBorder="1" applyAlignment="1">
      <alignment horizontal="center" vertical="center" wrapText="1"/>
    </xf>
    <xf numFmtId="49" fontId="3" fillId="2" borderId="8" xfId="0" applyNumberFormat="1" applyFont="1" applyFill="1" applyBorder="1" applyAlignment="1">
      <alignment horizontal="center" vertical="center" wrapText="1"/>
    </xf>
    <xf numFmtId="49" fontId="3" fillId="2" borderId="7" xfId="0" applyNumberFormat="1" applyFont="1" applyFill="1" applyBorder="1" applyAlignment="1">
      <alignment horizontal="center" vertical="center" wrapText="1"/>
    </xf>
    <xf numFmtId="49" fontId="0" fillId="0" borderId="15" xfId="0" applyNumberFormat="1" applyBorder="1" applyAlignment="1">
      <alignment horizontal="center" vertical="center" wrapText="1"/>
    </xf>
    <xf numFmtId="49" fontId="0" fillId="0" borderId="13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3" fillId="2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3" fillId="0" borderId="19" xfId="0" applyFont="1" applyBorder="1"/>
    <xf numFmtId="0" fontId="3" fillId="2" borderId="19" xfId="0" applyFont="1" applyFill="1" applyBorder="1" applyAlignment="1">
      <alignment horizontal="center" wrapText="1"/>
    </xf>
    <xf numFmtId="0" fontId="3" fillId="0" borderId="19" xfId="0" applyFont="1" applyBorder="1" applyAlignment="1">
      <alignment horizontal="center" wrapText="1"/>
    </xf>
    <xf numFmtId="0" fontId="1" fillId="0" borderId="19" xfId="0" applyFont="1" applyBorder="1" applyAlignment="1">
      <alignment horizontal="center" vertical="center"/>
    </xf>
    <xf numFmtId="0" fontId="1" fillId="0" borderId="19" xfId="0" applyFont="1" applyBorder="1" applyAlignment="1">
      <alignment vertical="center" wrapText="1"/>
    </xf>
    <xf numFmtId="0" fontId="7" fillId="0" borderId="19" xfId="0" applyFont="1" applyBorder="1" applyAlignment="1">
      <alignment horizontal="center"/>
    </xf>
    <xf numFmtId="10" fontId="0" fillId="0" borderId="19" xfId="1" applyNumberFormat="1" applyFont="1" applyBorder="1"/>
    <xf numFmtId="0" fontId="0" fillId="0" borderId="19" xfId="0" applyBorder="1"/>
    <xf numFmtId="10" fontId="0" fillId="0" borderId="19" xfId="0" applyNumberFormat="1" applyBorder="1"/>
    <xf numFmtId="10" fontId="0" fillId="0" borderId="20" xfId="1" applyNumberFormat="1" applyFont="1" applyFill="1" applyBorder="1"/>
    <xf numFmtId="10" fontId="0" fillId="0" borderId="20" xfId="0" applyNumberForma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FFCC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C98D2-E579-4871-80E7-10863D50B7EA}">
  <dimension ref="A1:GY48"/>
  <sheetViews>
    <sheetView zoomScale="55" zoomScaleNormal="55" workbookViewId="0">
      <selection activeCell="X54" sqref="X54"/>
    </sheetView>
  </sheetViews>
  <sheetFormatPr defaultRowHeight="14.4" x14ac:dyDescent="0.3"/>
  <cols>
    <col min="1" max="1" width="13.77734375" customWidth="1"/>
    <col min="2" max="3" width="12.77734375" hidden="1" customWidth="1"/>
    <col min="4" max="4" width="21.88671875" hidden="1" customWidth="1"/>
    <col min="5" max="5" width="12.33203125" hidden="1" customWidth="1"/>
    <col min="6" max="6" width="8.77734375" hidden="1" customWidth="1"/>
    <col min="7" max="7" width="15.5546875" hidden="1" customWidth="1"/>
    <col min="8" max="8" width="17.5546875" hidden="1" customWidth="1"/>
    <col min="9" max="9" width="17" hidden="1" customWidth="1"/>
    <col min="10" max="10" width="19.44140625" customWidth="1"/>
    <col min="11" max="11" width="21.5546875" customWidth="1"/>
    <col min="12" max="12" width="17" style="27" customWidth="1"/>
    <col min="13" max="13" width="17" customWidth="1"/>
    <col min="14" max="14" width="17" style="46" hidden="1" customWidth="1"/>
    <col min="15" max="17" width="17" hidden="1" customWidth="1"/>
    <col min="18" max="18" width="13.5546875" hidden="1" customWidth="1"/>
    <col min="19" max="19" width="12.33203125" hidden="1" customWidth="1"/>
    <col min="20" max="20" width="8.77734375" hidden="1" customWidth="1"/>
    <col min="21" max="21" width="15.5546875" hidden="1" customWidth="1"/>
    <col min="22" max="22" width="17.5546875" hidden="1" customWidth="1"/>
    <col min="23" max="23" width="17" hidden="1" customWidth="1"/>
    <col min="24" max="25" width="17" customWidth="1"/>
    <col min="26" max="30" width="17" hidden="1" customWidth="1"/>
    <col min="31" max="31" width="12.33203125" hidden="1" customWidth="1"/>
    <col min="32" max="32" width="8.77734375" hidden="1" customWidth="1"/>
    <col min="33" max="33" width="15.5546875" hidden="1" customWidth="1"/>
    <col min="34" max="34" width="17.5546875" hidden="1" customWidth="1"/>
    <col min="35" max="35" width="17" hidden="1" customWidth="1"/>
    <col min="36" max="37" width="17" customWidth="1"/>
    <col min="38" max="42" width="17" hidden="1" customWidth="1"/>
    <col min="43" max="43" width="12.33203125" hidden="1" customWidth="1"/>
    <col min="44" max="44" width="8.77734375" hidden="1" customWidth="1"/>
    <col min="45" max="45" width="15.5546875" hidden="1" customWidth="1"/>
    <col min="46" max="46" width="17.5546875" hidden="1" customWidth="1"/>
    <col min="47" max="47" width="17" hidden="1" customWidth="1"/>
    <col min="48" max="49" width="17" customWidth="1"/>
    <col min="50" max="54" width="17" hidden="1" customWidth="1"/>
    <col min="55" max="55" width="12.33203125" hidden="1" customWidth="1"/>
    <col min="56" max="56" width="8.77734375" hidden="1" customWidth="1"/>
    <col min="57" max="57" width="15.5546875" hidden="1" customWidth="1"/>
    <col min="58" max="58" width="17.5546875" hidden="1" customWidth="1"/>
    <col min="59" max="59" width="17" hidden="1" customWidth="1"/>
    <col min="60" max="61" width="17" customWidth="1"/>
    <col min="62" max="66" width="17" hidden="1" customWidth="1"/>
    <col min="67" max="67" width="12.33203125" hidden="1" customWidth="1"/>
    <col min="68" max="68" width="8.77734375" hidden="1" customWidth="1"/>
    <col min="69" max="69" width="15.5546875" hidden="1" customWidth="1"/>
    <col min="70" max="70" width="17.5546875" hidden="1" customWidth="1"/>
    <col min="71" max="71" width="17" hidden="1" customWidth="1"/>
    <col min="72" max="73" width="17" customWidth="1"/>
    <col min="74" max="78" width="17" hidden="1" customWidth="1"/>
    <col min="79" max="79" width="12.33203125" hidden="1" customWidth="1"/>
    <col min="80" max="80" width="8.77734375" hidden="1" customWidth="1"/>
    <col min="81" max="81" width="15.5546875" hidden="1" customWidth="1"/>
    <col min="82" max="82" width="17.5546875" hidden="1" customWidth="1"/>
    <col min="83" max="83" width="17" hidden="1" customWidth="1"/>
    <col min="84" max="85" width="17" customWidth="1"/>
    <col min="86" max="90" width="17" hidden="1" customWidth="1"/>
    <col min="91" max="91" width="12.33203125" hidden="1" customWidth="1"/>
    <col min="92" max="92" width="8.77734375" hidden="1" customWidth="1"/>
    <col min="93" max="93" width="15.5546875" hidden="1" customWidth="1"/>
    <col min="94" max="94" width="17.5546875" hidden="1" customWidth="1"/>
    <col min="95" max="95" width="17" hidden="1" customWidth="1"/>
    <col min="96" max="97" width="17" customWidth="1"/>
    <col min="98" max="99" width="17" hidden="1" customWidth="1"/>
    <col min="100" max="100" width="7.109375" bestFit="1" customWidth="1"/>
    <col min="101" max="101" width="19.44140625" customWidth="1"/>
    <col min="102" max="102" width="21.5546875" customWidth="1"/>
    <col min="103" max="207" width="7.109375" bestFit="1" customWidth="1"/>
  </cols>
  <sheetData>
    <row r="1" spans="1:207" s="107" customFormat="1" ht="15" customHeight="1" thickBot="1" x14ac:dyDescent="0.35">
      <c r="A1" s="13" t="s">
        <v>58</v>
      </c>
      <c r="B1" s="93" t="s">
        <v>24</v>
      </c>
      <c r="C1" s="94"/>
      <c r="D1" s="94"/>
      <c r="E1" s="94"/>
      <c r="F1" s="94"/>
      <c r="G1" s="94"/>
      <c r="H1" s="94"/>
      <c r="I1" s="94"/>
      <c r="J1" s="96"/>
      <c r="K1" s="96"/>
      <c r="L1" s="135" t="s">
        <v>24</v>
      </c>
      <c r="M1" s="135"/>
      <c r="N1" s="94"/>
      <c r="O1" s="95"/>
      <c r="P1" s="139" t="s">
        <v>4</v>
      </c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7"/>
      <c r="AB1" s="135" t="s">
        <v>5</v>
      </c>
      <c r="AC1" s="135"/>
      <c r="AD1" s="135"/>
      <c r="AE1" s="135"/>
      <c r="AF1" s="135"/>
      <c r="AG1" s="135"/>
      <c r="AH1" s="135"/>
      <c r="AI1" s="135"/>
      <c r="AJ1" s="135"/>
      <c r="AK1" s="135"/>
      <c r="AL1" s="135"/>
      <c r="AM1" s="135"/>
      <c r="AN1" s="136" t="s">
        <v>1</v>
      </c>
      <c r="AO1" s="136"/>
      <c r="AP1" s="136"/>
      <c r="AQ1" s="136"/>
      <c r="AR1" s="136"/>
      <c r="AS1" s="136"/>
      <c r="AT1" s="136"/>
      <c r="AU1" s="136"/>
      <c r="AV1" s="136"/>
      <c r="AW1" s="136"/>
      <c r="AX1" s="136"/>
      <c r="AY1" s="136"/>
      <c r="AZ1" s="135" t="s">
        <v>2</v>
      </c>
      <c r="BA1" s="135"/>
      <c r="BB1" s="135"/>
      <c r="BC1" s="135"/>
      <c r="BD1" s="135"/>
      <c r="BE1" s="135"/>
      <c r="BF1" s="135"/>
      <c r="BG1" s="135"/>
      <c r="BH1" s="135"/>
      <c r="BI1" s="135"/>
      <c r="BJ1" s="135"/>
      <c r="BK1" s="135"/>
      <c r="BL1" s="136" t="s">
        <v>16</v>
      </c>
      <c r="BM1" s="136"/>
      <c r="BN1" s="136"/>
      <c r="BO1" s="136"/>
      <c r="BP1" s="136"/>
      <c r="BQ1" s="136"/>
      <c r="BR1" s="136"/>
      <c r="BS1" s="136"/>
      <c r="BT1" s="136"/>
      <c r="BU1" s="136"/>
      <c r="BV1" s="136"/>
      <c r="BW1" s="137"/>
      <c r="BX1" s="138" t="s">
        <v>3</v>
      </c>
      <c r="BY1" s="135"/>
      <c r="BZ1" s="135"/>
      <c r="CA1" s="135"/>
      <c r="CB1" s="135"/>
      <c r="CC1" s="135"/>
      <c r="CD1" s="135"/>
      <c r="CE1" s="135"/>
      <c r="CF1" s="135"/>
      <c r="CG1" s="135"/>
      <c r="CH1" s="135"/>
      <c r="CI1" s="135"/>
      <c r="CJ1" s="136" t="s">
        <v>17</v>
      </c>
      <c r="CK1" s="136"/>
      <c r="CL1" s="136"/>
      <c r="CM1" s="136"/>
      <c r="CN1" s="136"/>
      <c r="CO1" s="136"/>
      <c r="CP1" s="136"/>
      <c r="CQ1" s="136"/>
      <c r="CR1" s="136"/>
      <c r="CS1" s="136"/>
      <c r="CT1" s="136"/>
      <c r="CU1" s="137"/>
      <c r="CX1" s="108"/>
    </row>
    <row r="2" spans="1:207" s="75" customFormat="1" ht="16.2" thickBot="1" x14ac:dyDescent="0.35">
      <c r="A2" s="133" t="s">
        <v>59</v>
      </c>
      <c r="B2" s="88" t="s">
        <v>23</v>
      </c>
      <c r="C2" s="88" t="s">
        <v>46</v>
      </c>
      <c r="D2" s="89" t="s">
        <v>20</v>
      </c>
      <c r="E2" s="89" t="s">
        <v>11</v>
      </c>
      <c r="F2" s="90" t="s">
        <v>12</v>
      </c>
      <c r="G2" s="90" t="s">
        <v>13</v>
      </c>
      <c r="H2" s="90" t="s">
        <v>14</v>
      </c>
      <c r="I2" s="91" t="s">
        <v>15</v>
      </c>
      <c r="J2" s="90" t="s">
        <v>56</v>
      </c>
      <c r="K2" s="90" t="s">
        <v>57</v>
      </c>
      <c r="L2" s="105" t="s">
        <v>21</v>
      </c>
      <c r="M2" s="90" t="s">
        <v>19</v>
      </c>
      <c r="N2" s="106" t="s">
        <v>22</v>
      </c>
      <c r="O2" s="91" t="s">
        <v>18</v>
      </c>
      <c r="P2" s="88" t="s">
        <v>23</v>
      </c>
      <c r="Q2" s="88" t="s">
        <v>46</v>
      </c>
      <c r="R2" s="89" t="s">
        <v>20</v>
      </c>
      <c r="S2" s="89" t="s">
        <v>11</v>
      </c>
      <c r="T2" s="90" t="s">
        <v>12</v>
      </c>
      <c r="U2" s="90" t="s">
        <v>13</v>
      </c>
      <c r="V2" s="90" t="s">
        <v>14</v>
      </c>
      <c r="W2" s="91" t="s">
        <v>15</v>
      </c>
      <c r="X2" s="90" t="s">
        <v>21</v>
      </c>
      <c r="Y2" s="90" t="s">
        <v>19</v>
      </c>
      <c r="Z2" s="90" t="s">
        <v>22</v>
      </c>
      <c r="AA2" s="91" t="s">
        <v>18</v>
      </c>
      <c r="AB2" s="88" t="s">
        <v>23</v>
      </c>
      <c r="AC2" s="88" t="s">
        <v>46</v>
      </c>
      <c r="AD2" s="89" t="s">
        <v>20</v>
      </c>
      <c r="AE2" s="89" t="s">
        <v>11</v>
      </c>
      <c r="AF2" s="90" t="s">
        <v>12</v>
      </c>
      <c r="AG2" s="90" t="s">
        <v>13</v>
      </c>
      <c r="AH2" s="90" t="s">
        <v>14</v>
      </c>
      <c r="AI2" s="91" t="s">
        <v>15</v>
      </c>
      <c r="AJ2" s="90" t="s">
        <v>21</v>
      </c>
      <c r="AK2" s="90" t="s">
        <v>19</v>
      </c>
      <c r="AL2" s="90" t="s">
        <v>22</v>
      </c>
      <c r="AM2" s="91" t="s">
        <v>18</v>
      </c>
      <c r="AN2" s="88" t="s">
        <v>23</v>
      </c>
      <c r="AO2" s="88" t="s">
        <v>46</v>
      </c>
      <c r="AP2" s="89" t="s">
        <v>20</v>
      </c>
      <c r="AQ2" s="89" t="s">
        <v>11</v>
      </c>
      <c r="AR2" s="90" t="s">
        <v>12</v>
      </c>
      <c r="AS2" s="90" t="s">
        <v>13</v>
      </c>
      <c r="AT2" s="90" t="s">
        <v>14</v>
      </c>
      <c r="AU2" s="91" t="s">
        <v>15</v>
      </c>
      <c r="AV2" s="90" t="s">
        <v>21</v>
      </c>
      <c r="AW2" s="90" t="s">
        <v>19</v>
      </c>
      <c r="AX2" s="90" t="s">
        <v>22</v>
      </c>
      <c r="AY2" s="91" t="s">
        <v>18</v>
      </c>
      <c r="AZ2" s="88" t="s">
        <v>23</v>
      </c>
      <c r="BA2" s="88" t="s">
        <v>46</v>
      </c>
      <c r="BB2" s="89" t="s">
        <v>20</v>
      </c>
      <c r="BC2" s="89" t="s">
        <v>11</v>
      </c>
      <c r="BD2" s="90" t="s">
        <v>12</v>
      </c>
      <c r="BE2" s="90" t="s">
        <v>13</v>
      </c>
      <c r="BF2" s="90" t="s">
        <v>14</v>
      </c>
      <c r="BG2" s="91" t="s">
        <v>15</v>
      </c>
      <c r="BH2" s="90" t="s">
        <v>21</v>
      </c>
      <c r="BI2" s="90" t="s">
        <v>19</v>
      </c>
      <c r="BJ2" s="90" t="s">
        <v>22</v>
      </c>
      <c r="BK2" s="91" t="s">
        <v>18</v>
      </c>
      <c r="BL2" s="88" t="s">
        <v>23</v>
      </c>
      <c r="BM2" s="88" t="s">
        <v>46</v>
      </c>
      <c r="BN2" s="89" t="s">
        <v>20</v>
      </c>
      <c r="BO2" s="89" t="s">
        <v>11</v>
      </c>
      <c r="BP2" s="90" t="s">
        <v>12</v>
      </c>
      <c r="BQ2" s="90" t="s">
        <v>13</v>
      </c>
      <c r="BR2" s="90" t="s">
        <v>14</v>
      </c>
      <c r="BS2" s="91" t="s">
        <v>15</v>
      </c>
      <c r="BT2" s="90" t="s">
        <v>21</v>
      </c>
      <c r="BU2" s="90" t="s">
        <v>19</v>
      </c>
      <c r="BV2" s="90" t="s">
        <v>22</v>
      </c>
      <c r="BW2" s="91" t="s">
        <v>18</v>
      </c>
      <c r="BX2" s="88" t="s">
        <v>23</v>
      </c>
      <c r="BY2" s="88" t="s">
        <v>46</v>
      </c>
      <c r="BZ2" s="89" t="s">
        <v>20</v>
      </c>
      <c r="CA2" s="89" t="s">
        <v>11</v>
      </c>
      <c r="CB2" s="90" t="s">
        <v>12</v>
      </c>
      <c r="CC2" s="90" t="s">
        <v>13</v>
      </c>
      <c r="CD2" s="90" t="s">
        <v>14</v>
      </c>
      <c r="CE2" s="91" t="s">
        <v>15</v>
      </c>
      <c r="CF2" s="90" t="s">
        <v>21</v>
      </c>
      <c r="CG2" s="90" t="s">
        <v>19</v>
      </c>
      <c r="CH2" s="90" t="s">
        <v>22</v>
      </c>
      <c r="CI2" s="91" t="s">
        <v>18</v>
      </c>
      <c r="CJ2" s="88" t="s">
        <v>23</v>
      </c>
      <c r="CK2" s="88" t="s">
        <v>46</v>
      </c>
      <c r="CL2" s="89" t="s">
        <v>20</v>
      </c>
      <c r="CM2" s="89" t="s">
        <v>11</v>
      </c>
      <c r="CN2" s="90" t="s">
        <v>12</v>
      </c>
      <c r="CO2" s="90" t="s">
        <v>13</v>
      </c>
      <c r="CP2" s="90" t="s">
        <v>14</v>
      </c>
      <c r="CQ2" s="91" t="s">
        <v>15</v>
      </c>
      <c r="CR2" s="90" t="s">
        <v>21</v>
      </c>
      <c r="CS2" s="90" t="s">
        <v>19</v>
      </c>
      <c r="CT2" s="90" t="s">
        <v>22</v>
      </c>
      <c r="CU2" s="91" t="s">
        <v>18</v>
      </c>
      <c r="CW2" s="90" t="s">
        <v>53</v>
      </c>
      <c r="CX2" s="91" t="s">
        <v>54</v>
      </c>
    </row>
    <row r="3" spans="1:207" hidden="1" x14ac:dyDescent="0.3">
      <c r="A3" s="34" t="s">
        <v>6</v>
      </c>
      <c r="B3" s="23"/>
      <c r="C3" s="23"/>
      <c r="D3" s="24">
        <f>0.4 * E3 + 0.4 * F3 + 0.2 * I3</f>
        <v>12442</v>
      </c>
      <c r="E3" s="5">
        <v>20555</v>
      </c>
      <c r="F3">
        <v>10550</v>
      </c>
      <c r="G3">
        <v>0</v>
      </c>
      <c r="H3">
        <v>0</v>
      </c>
      <c r="I3" s="6">
        <v>0</v>
      </c>
      <c r="L3" s="50">
        <f>($B$8-D3)/$B$8</f>
        <v>8.0685680508349344E-2</v>
      </c>
      <c r="N3" s="51"/>
      <c r="O3" s="6"/>
      <c r="R3" s="24">
        <f>0.4 * S3 + 0.4 * T3 + 0.2 * W3</f>
        <v>38319.599999999999</v>
      </c>
      <c r="S3" s="28">
        <v>75326</v>
      </c>
      <c r="T3">
        <v>20304</v>
      </c>
      <c r="U3">
        <v>721</v>
      </c>
      <c r="V3">
        <v>0</v>
      </c>
      <c r="W3" s="6">
        <v>338</v>
      </c>
      <c r="X3" s="50">
        <f>($P$8-R3)/$P$8</f>
        <v>0.27080288637194011</v>
      </c>
      <c r="Z3" s="51"/>
      <c r="AA3" s="6"/>
      <c r="AB3" s="6"/>
      <c r="AD3" s="24">
        <f>0.4 * AE3 + 0.4 * AF3 + 0.2 * AI3</f>
        <v>20161.599999999999</v>
      </c>
      <c r="AE3" s="5">
        <v>38150</v>
      </c>
      <c r="AF3">
        <v>12254</v>
      </c>
      <c r="AG3">
        <v>13509</v>
      </c>
      <c r="AH3">
        <v>0</v>
      </c>
      <c r="AI3">
        <v>0</v>
      </c>
      <c r="AJ3" s="50">
        <f>($AB$8-AD3)/$AB$8</f>
        <v>0.17710442108012803</v>
      </c>
      <c r="AL3" s="51"/>
      <c r="AM3" s="6"/>
      <c r="AN3" s="6"/>
      <c r="AP3" s="24">
        <f>0.4 * AQ3 + 0.4 * AR3 + 0.2 * AU3</f>
        <v>26609.599999999999</v>
      </c>
      <c r="AQ3">
        <v>43918</v>
      </c>
      <c r="AR3">
        <v>22606</v>
      </c>
      <c r="AS3">
        <v>16033</v>
      </c>
      <c r="AT3">
        <v>0</v>
      </c>
      <c r="AU3">
        <v>0</v>
      </c>
      <c r="AV3" s="50">
        <f>($AN$8-AP3)/$AN$8</f>
        <v>7.9201616698502439E-2</v>
      </c>
      <c r="AX3" s="51"/>
      <c r="AY3" s="6"/>
      <c r="AZ3" s="6"/>
      <c r="BB3" s="24">
        <f>0.4 * BC3 + 0.4 * BD3 + 0.2 * BG3</f>
        <v>26586</v>
      </c>
      <c r="BC3" s="5">
        <v>51740</v>
      </c>
      <c r="BD3">
        <v>14725</v>
      </c>
      <c r="BE3">
        <v>0</v>
      </c>
      <c r="BF3">
        <v>0</v>
      </c>
      <c r="BG3">
        <v>0</v>
      </c>
      <c r="BH3" s="50">
        <f>($AZ$8-BB3)/$AZ$8</f>
        <v>5.8356001360081559E-2</v>
      </c>
      <c r="BJ3" s="51"/>
      <c r="BK3" s="6"/>
      <c r="BL3" s="6"/>
      <c r="BN3" s="24">
        <f>0.4 * BO3 + 0.4 * BP3 + 0.2 * BS3</f>
        <v>38188.400000000001</v>
      </c>
      <c r="BO3" s="5">
        <v>80640</v>
      </c>
      <c r="BP3">
        <v>14831</v>
      </c>
      <c r="BQ3">
        <v>12039</v>
      </c>
      <c r="BR3">
        <v>0</v>
      </c>
      <c r="BS3">
        <v>0</v>
      </c>
      <c r="BT3" s="50">
        <f>($BL$8-BN3)/$BL$8</f>
        <v>6.5375089330291958E-2</v>
      </c>
      <c r="BV3" s="51"/>
      <c r="BW3" s="6"/>
      <c r="BX3" s="6"/>
      <c r="BZ3" s="24">
        <f>0.4 * CA3 + 0.4 * CB3 + 0.2 * CE3</f>
        <v>20543.2</v>
      </c>
      <c r="CA3" s="5">
        <v>36626</v>
      </c>
      <c r="CB3">
        <v>14732</v>
      </c>
      <c r="CC3">
        <v>11300</v>
      </c>
      <c r="CD3">
        <v>0</v>
      </c>
      <c r="CE3">
        <v>0</v>
      </c>
      <c r="CF3" s="50">
        <f>($BX$8-BZ3)/$BX$8</f>
        <v>3.7789227166276314E-2</v>
      </c>
      <c r="CH3" s="51"/>
      <c r="CI3" s="6"/>
      <c r="CJ3" s="6"/>
      <c r="CL3" s="24">
        <f>0.4 * CM3 + 0.4 * CN3 + 0.2 * CQ3</f>
        <v>15894</v>
      </c>
      <c r="CM3" s="29">
        <v>23573</v>
      </c>
      <c r="CN3" s="29">
        <v>16162</v>
      </c>
      <c r="CO3">
        <v>9099</v>
      </c>
      <c r="CP3">
        <v>0</v>
      </c>
      <c r="CQ3">
        <v>0</v>
      </c>
      <c r="CR3" s="50">
        <f>($CJ$8-CL3)/$CJ$8</f>
        <v>0.14268145335289553</v>
      </c>
      <c r="CT3" s="51"/>
      <c r="CU3" s="6"/>
      <c r="CX3" s="6"/>
    </row>
    <row r="4" spans="1:207" hidden="1" x14ac:dyDescent="0.3">
      <c r="A4" s="34" t="s">
        <v>6</v>
      </c>
      <c r="B4" s="23"/>
      <c r="C4" s="23"/>
      <c r="D4" s="24">
        <f t="shared" ref="D4:D7" si="0">0.4 * E4 + 0.4 * F4 + 0.2 * I4</f>
        <v>12442</v>
      </c>
      <c r="E4" s="5">
        <v>20555</v>
      </c>
      <c r="F4">
        <v>10550</v>
      </c>
      <c r="G4">
        <v>0</v>
      </c>
      <c r="H4">
        <v>0</v>
      </c>
      <c r="I4" s="6">
        <v>0</v>
      </c>
      <c r="L4" s="45">
        <f t="shared" ref="L4:L7" si="1">($B$8-D4)/$B$8</f>
        <v>8.0685680508349344E-2</v>
      </c>
      <c r="N4" s="51"/>
      <c r="O4" s="6"/>
      <c r="R4" s="24">
        <f>0.4 * S4 + 0.4 * T4 + 0.2 * W4</f>
        <v>38276.800000000003</v>
      </c>
      <c r="S4" s="28">
        <v>75445</v>
      </c>
      <c r="T4">
        <v>20247</v>
      </c>
      <c r="U4">
        <v>72</v>
      </c>
      <c r="V4">
        <v>0</v>
      </c>
      <c r="W4" s="6">
        <v>0</v>
      </c>
      <c r="X4" s="45">
        <f t="shared" ref="X4:X6" si="2">($P$8-R4)/$P$8</f>
        <v>0.27161734258920955</v>
      </c>
      <c r="Z4" s="51"/>
      <c r="AA4" s="6"/>
      <c r="AB4" s="6"/>
      <c r="AD4" s="24">
        <f>0.4 * AE4 + 0.4 * AF4 + 0.2 * AI4</f>
        <v>20046</v>
      </c>
      <c r="AE4" s="5">
        <v>37848</v>
      </c>
      <c r="AF4">
        <v>12267</v>
      </c>
      <c r="AG4">
        <v>13014</v>
      </c>
      <c r="AH4">
        <v>0</v>
      </c>
      <c r="AI4">
        <v>0</v>
      </c>
      <c r="AJ4" s="45">
        <f t="shared" ref="AJ4:AJ6" si="3">($AB$8-AD4)/$AB$8</f>
        <v>0.18182263436295956</v>
      </c>
      <c r="AL4" s="51"/>
      <c r="AM4" s="6"/>
      <c r="AN4" s="6"/>
      <c r="AP4" s="24">
        <f>0.4 * AQ4 + 0.4 * AR4 + 0.2 * AU4</f>
        <v>26356.400000000001</v>
      </c>
      <c r="AQ4">
        <v>43388</v>
      </c>
      <c r="AR4">
        <v>22503</v>
      </c>
      <c r="AS4">
        <v>20154</v>
      </c>
      <c r="AT4">
        <v>0</v>
      </c>
      <c r="AU4">
        <v>0</v>
      </c>
      <c r="AV4" s="45">
        <f t="shared" ref="AV4:AV7" si="4">($AN$8-AP4)/$AN$8</f>
        <v>8.7963347451762028E-2</v>
      </c>
      <c r="AX4" s="51"/>
      <c r="AY4" s="6"/>
      <c r="AZ4" s="6"/>
      <c r="BB4" s="24">
        <f>0.4 * BC4 + 0.4 * BD4 + 0.2 * BG4</f>
        <v>26586</v>
      </c>
      <c r="BC4" s="5">
        <v>51740</v>
      </c>
      <c r="BD4">
        <v>14725</v>
      </c>
      <c r="BE4">
        <v>0</v>
      </c>
      <c r="BF4">
        <v>0</v>
      </c>
      <c r="BG4">
        <v>0</v>
      </c>
      <c r="BH4" s="45">
        <f t="shared" ref="BH4:BH6" si="5">($AZ$8-BB4)/$AZ$8</f>
        <v>5.8356001360081559E-2</v>
      </c>
      <c r="BJ4" s="51"/>
      <c r="BK4" s="6"/>
      <c r="BL4" s="6"/>
      <c r="BN4" s="24">
        <f>0.4 * BO4 + 0.4 * BP4 + 0.2 * BS4</f>
        <v>38274.800000000003</v>
      </c>
      <c r="BO4" s="5">
        <v>80876</v>
      </c>
      <c r="BP4">
        <v>14811</v>
      </c>
      <c r="BQ4">
        <v>12116</v>
      </c>
      <c r="BR4">
        <v>0</v>
      </c>
      <c r="BS4">
        <v>0</v>
      </c>
      <c r="BT4" s="45">
        <f t="shared" ref="BT4:BT7" si="6">($BL$8-BN4)/$BL$8</f>
        <v>6.3260531184837737E-2</v>
      </c>
      <c r="BV4" s="51"/>
      <c r="BW4" s="6"/>
      <c r="BX4" s="6"/>
      <c r="BZ4" s="24">
        <f>0.4 * CA4 + 0.4 * CB4 + 0.2 * CE4</f>
        <v>20584.400000000001</v>
      </c>
      <c r="CA4" s="5">
        <v>36723</v>
      </c>
      <c r="CB4">
        <v>14738</v>
      </c>
      <c r="CC4">
        <v>11318</v>
      </c>
      <c r="CD4">
        <v>0</v>
      </c>
      <c r="CE4">
        <v>0</v>
      </c>
      <c r="CF4" s="45">
        <f t="shared" ref="CF4:CF7" si="7">($BX$8-BZ4)/$BX$8</f>
        <v>3.5859484777517499E-2</v>
      </c>
      <c r="CH4" s="51"/>
      <c r="CI4" s="6"/>
      <c r="CJ4" s="6"/>
      <c r="CL4" s="24">
        <f>0.4 * CM4 + 0.4 * CN4 + 0.2 * CQ4</f>
        <v>15752.400000000001</v>
      </c>
      <c r="CM4" s="30">
        <v>23235</v>
      </c>
      <c r="CN4" s="29">
        <v>16146</v>
      </c>
      <c r="CO4">
        <v>9965</v>
      </c>
      <c r="CP4">
        <v>0</v>
      </c>
      <c r="CQ4">
        <v>0</v>
      </c>
      <c r="CR4" s="45">
        <f t="shared" ref="CR4:CR7" si="8">($CJ$8-CL4)/$CJ$8</f>
        <v>0.15031932337964957</v>
      </c>
      <c r="CT4" s="51"/>
      <c r="CU4" s="6"/>
      <c r="CX4" s="6"/>
    </row>
    <row r="5" spans="1:207" hidden="1" x14ac:dyDescent="0.3">
      <c r="A5" s="34" t="s">
        <v>6</v>
      </c>
      <c r="B5" s="23"/>
      <c r="C5" s="23"/>
      <c r="D5" s="24">
        <f t="shared" si="0"/>
        <v>12426.400000000001</v>
      </c>
      <c r="E5" s="5">
        <v>20547</v>
      </c>
      <c r="F5">
        <v>10519</v>
      </c>
      <c r="G5">
        <v>0</v>
      </c>
      <c r="H5">
        <v>0</v>
      </c>
      <c r="I5" s="6">
        <v>0</v>
      </c>
      <c r="L5" s="45">
        <f t="shared" si="1"/>
        <v>8.1838333087039944E-2</v>
      </c>
      <c r="N5" s="51"/>
      <c r="O5" s="6"/>
      <c r="R5" s="24">
        <f t="shared" ref="R5:R7" si="9">0.4 * S5 + 0.4 * T5 + 0.2 * W5</f>
        <v>37495.800000000003</v>
      </c>
      <c r="S5" s="28">
        <v>73309</v>
      </c>
      <c r="T5">
        <v>19918</v>
      </c>
      <c r="U5">
        <v>580</v>
      </c>
      <c r="V5">
        <v>0</v>
      </c>
      <c r="W5" s="6">
        <v>1025</v>
      </c>
      <c r="X5" s="45">
        <f t="shared" si="2"/>
        <v>0.28647926561929116</v>
      </c>
      <c r="Z5" s="51"/>
      <c r="AA5" s="6"/>
      <c r="AB5" s="6"/>
      <c r="AD5" s="24">
        <f t="shared" ref="AD5:AD7" si="10">0.4 * AE5 + 0.4 * AF5 + 0.2 * AI5</f>
        <v>19962.400000000001</v>
      </c>
      <c r="AE5" s="5">
        <v>37680</v>
      </c>
      <c r="AF5">
        <v>12226</v>
      </c>
      <c r="AG5">
        <v>12995</v>
      </c>
      <c r="AH5">
        <v>0</v>
      </c>
      <c r="AI5">
        <v>0</v>
      </c>
      <c r="AJ5" s="45">
        <f t="shared" si="3"/>
        <v>0.1852347678443152</v>
      </c>
      <c r="AL5" s="51"/>
      <c r="AM5" s="6"/>
      <c r="AN5" s="6"/>
      <c r="AP5" s="24">
        <f>0.4 * AQ5 + 0.4 * AR5 + 0.2 * AU5</f>
        <v>26356.400000000001</v>
      </c>
      <c r="AQ5">
        <v>43388</v>
      </c>
      <c r="AR5">
        <v>22503</v>
      </c>
      <c r="AS5">
        <v>20154</v>
      </c>
      <c r="AT5">
        <v>0</v>
      </c>
      <c r="AU5">
        <v>0</v>
      </c>
      <c r="AV5" s="45">
        <f t="shared" si="4"/>
        <v>8.7963347451762028E-2</v>
      </c>
      <c r="AX5" s="51"/>
      <c r="AY5" s="6"/>
      <c r="AZ5" s="6"/>
      <c r="BB5" s="24">
        <f t="shared" ref="BB5:BB7" si="11">0.4 * BC5 + 0.4 * BD5 + 0.2 * BG5</f>
        <v>26586</v>
      </c>
      <c r="BC5" s="5">
        <v>51740</v>
      </c>
      <c r="BD5">
        <v>14725</v>
      </c>
      <c r="BE5">
        <v>0</v>
      </c>
      <c r="BF5">
        <v>0</v>
      </c>
      <c r="BG5">
        <v>0</v>
      </c>
      <c r="BH5" s="45">
        <f t="shared" si="5"/>
        <v>5.8356001360081559E-2</v>
      </c>
      <c r="BJ5" s="51"/>
      <c r="BK5" s="6"/>
      <c r="BL5" s="6"/>
      <c r="BN5" s="24">
        <f t="shared" ref="BN5:BN7" si="12">0.4 * BO5 + 0.4 * BP5 + 0.2 * BS5</f>
        <v>38188.400000000001</v>
      </c>
      <c r="BO5" s="5">
        <v>80640</v>
      </c>
      <c r="BP5">
        <v>14831</v>
      </c>
      <c r="BQ5">
        <v>12221</v>
      </c>
      <c r="BR5">
        <v>0</v>
      </c>
      <c r="BS5">
        <v>0</v>
      </c>
      <c r="BT5" s="45">
        <f t="shared" si="6"/>
        <v>6.5375089330291958E-2</v>
      </c>
      <c r="BV5" s="51"/>
      <c r="BW5" s="6"/>
      <c r="BX5" s="6"/>
      <c r="BZ5" s="24">
        <f t="shared" ref="BZ5:BZ7" si="13">0.4 * CA5 + 0.4 * CB5 + 0.2 * CE5</f>
        <v>20652.400000000001</v>
      </c>
      <c r="CA5" s="5">
        <v>36886</v>
      </c>
      <c r="CB5">
        <v>14745</v>
      </c>
      <c r="CC5">
        <v>11311</v>
      </c>
      <c r="CD5">
        <v>0</v>
      </c>
      <c r="CE5">
        <v>0</v>
      </c>
      <c r="CF5" s="45">
        <f t="shared" si="7"/>
        <v>3.267447306791562E-2</v>
      </c>
      <c r="CH5" s="51"/>
      <c r="CI5" s="6"/>
      <c r="CJ5" s="6"/>
      <c r="CL5" s="24">
        <f t="shared" ref="CL5:CL7" si="14">0.4 * CM5 + 0.4 * CN5 + 0.2 * CQ5</f>
        <v>15752</v>
      </c>
      <c r="CM5" s="29">
        <v>23235</v>
      </c>
      <c r="CN5" s="30">
        <v>16145</v>
      </c>
      <c r="CO5">
        <v>9766</v>
      </c>
      <c r="CP5">
        <v>0</v>
      </c>
      <c r="CQ5">
        <v>0</v>
      </c>
      <c r="CR5" s="45">
        <f t="shared" si="8"/>
        <v>0.15034089928368002</v>
      </c>
      <c r="CT5" s="51"/>
      <c r="CU5" s="6"/>
      <c r="CX5" s="6"/>
    </row>
    <row r="6" spans="1:207" hidden="1" x14ac:dyDescent="0.3">
      <c r="A6" s="34" t="s">
        <v>6</v>
      </c>
      <c r="B6" s="23"/>
      <c r="C6" s="23"/>
      <c r="D6" s="24">
        <f t="shared" si="0"/>
        <v>12426.400000000001</v>
      </c>
      <c r="E6" s="5">
        <v>20547</v>
      </c>
      <c r="F6">
        <v>10519</v>
      </c>
      <c r="G6">
        <v>0</v>
      </c>
      <c r="H6">
        <v>0</v>
      </c>
      <c r="I6" s="6">
        <v>0</v>
      </c>
      <c r="L6" s="45">
        <f>($B$8-D6)/$B$8</f>
        <v>8.1838333087039944E-2</v>
      </c>
      <c r="N6" s="51"/>
      <c r="O6" s="6"/>
      <c r="R6" s="24">
        <f t="shared" si="9"/>
        <v>38252</v>
      </c>
      <c r="S6" s="28">
        <v>74575</v>
      </c>
      <c r="T6">
        <v>20111</v>
      </c>
      <c r="U6">
        <v>1286</v>
      </c>
      <c r="V6">
        <v>0</v>
      </c>
      <c r="W6" s="6">
        <v>1888</v>
      </c>
      <c r="X6" s="45">
        <f t="shared" si="2"/>
        <v>0.27208927049080506</v>
      </c>
      <c r="Z6" s="51"/>
      <c r="AA6" s="6"/>
      <c r="AB6" s="6"/>
      <c r="AD6" s="24">
        <f t="shared" si="10"/>
        <v>20161.599999999999</v>
      </c>
      <c r="AE6" s="5">
        <v>38150</v>
      </c>
      <c r="AF6">
        <v>12254</v>
      </c>
      <c r="AG6">
        <v>13509</v>
      </c>
      <c r="AH6">
        <v>0</v>
      </c>
      <c r="AI6">
        <v>0</v>
      </c>
      <c r="AJ6" s="45">
        <f t="shared" si="3"/>
        <v>0.17710442108012803</v>
      </c>
      <c r="AL6" s="51"/>
      <c r="AM6" s="6"/>
      <c r="AN6" s="6"/>
      <c r="AP6" s="24">
        <f t="shared" ref="AP6" si="15">0.4 * AQ6 + 0.4 * AR6 + 0.2 * AU6</f>
        <v>26333.200000000004</v>
      </c>
      <c r="AQ6">
        <v>43341</v>
      </c>
      <c r="AR6">
        <v>22492</v>
      </c>
      <c r="AS6">
        <v>19258</v>
      </c>
      <c r="AT6">
        <v>0</v>
      </c>
      <c r="AU6">
        <v>0</v>
      </c>
      <c r="AV6" s="45">
        <f t="shared" si="4"/>
        <v>8.87661600642249E-2</v>
      </c>
      <c r="AX6" s="51"/>
      <c r="AY6" s="6"/>
      <c r="AZ6" s="6"/>
      <c r="BB6" s="24">
        <f t="shared" si="11"/>
        <v>26586</v>
      </c>
      <c r="BC6" s="5">
        <v>51740</v>
      </c>
      <c r="BD6">
        <v>14725</v>
      </c>
      <c r="BE6">
        <v>0</v>
      </c>
      <c r="BF6">
        <v>0</v>
      </c>
      <c r="BG6">
        <v>0</v>
      </c>
      <c r="BH6" s="45">
        <f t="shared" si="5"/>
        <v>5.8356001360081559E-2</v>
      </c>
      <c r="BJ6" s="51"/>
      <c r="BK6" s="6"/>
      <c r="BL6" s="6"/>
      <c r="BN6" s="24">
        <f t="shared" si="12"/>
        <v>38189.200000000004</v>
      </c>
      <c r="BO6" s="5">
        <v>80641</v>
      </c>
      <c r="BP6">
        <v>14832</v>
      </c>
      <c r="BQ6">
        <v>12070</v>
      </c>
      <c r="BR6">
        <v>0</v>
      </c>
      <c r="BS6">
        <v>0</v>
      </c>
      <c r="BT6" s="45">
        <f t="shared" si="6"/>
        <v>6.5355510088204352E-2</v>
      </c>
      <c r="BV6" s="51"/>
      <c r="BW6" s="6"/>
      <c r="BX6" s="6"/>
      <c r="BZ6" s="24">
        <f t="shared" si="13"/>
        <v>20584.400000000001</v>
      </c>
      <c r="CA6" s="5">
        <v>36723</v>
      </c>
      <c r="CB6">
        <v>14738</v>
      </c>
      <c r="CC6">
        <v>11299</v>
      </c>
      <c r="CD6">
        <v>0</v>
      </c>
      <c r="CE6">
        <v>0</v>
      </c>
      <c r="CF6" s="45">
        <f t="shared" si="7"/>
        <v>3.5859484777517499E-2</v>
      </c>
      <c r="CH6" s="51"/>
      <c r="CI6" s="6"/>
      <c r="CJ6" s="6"/>
      <c r="CL6" s="24">
        <f t="shared" si="14"/>
        <v>16393.600000000002</v>
      </c>
      <c r="CM6" s="29">
        <v>24757</v>
      </c>
      <c r="CN6" s="30">
        <v>16227</v>
      </c>
      <c r="CO6">
        <v>8887</v>
      </c>
      <c r="CP6">
        <v>0</v>
      </c>
      <c r="CQ6">
        <v>0</v>
      </c>
      <c r="CR6" s="45">
        <f t="shared" si="8"/>
        <v>0.1157331492189522</v>
      </c>
      <c r="CT6" s="51"/>
      <c r="CU6" s="6"/>
      <c r="CX6" s="6"/>
    </row>
    <row r="7" spans="1:207" hidden="1" x14ac:dyDescent="0.3">
      <c r="A7" s="34" t="s">
        <v>6</v>
      </c>
      <c r="B7" s="23"/>
      <c r="C7" s="23"/>
      <c r="D7" s="24">
        <f t="shared" si="0"/>
        <v>12374.400000000001</v>
      </c>
      <c r="E7" s="5">
        <v>20587</v>
      </c>
      <c r="F7">
        <v>10349</v>
      </c>
      <c r="G7">
        <v>0</v>
      </c>
      <c r="H7">
        <v>0</v>
      </c>
      <c r="I7" s="6">
        <v>0</v>
      </c>
      <c r="L7" s="45">
        <f t="shared" si="1"/>
        <v>8.5680508349342294E-2</v>
      </c>
      <c r="N7" s="51"/>
      <c r="O7" s="6"/>
      <c r="R7" s="24">
        <f t="shared" si="9"/>
        <v>38039.200000000004</v>
      </c>
      <c r="S7" s="28">
        <v>74755</v>
      </c>
      <c r="T7">
        <v>20157</v>
      </c>
      <c r="U7">
        <v>608</v>
      </c>
      <c r="V7">
        <v>0</v>
      </c>
      <c r="W7" s="6">
        <v>372</v>
      </c>
      <c r="X7" s="45">
        <f>($P$8-R7)/$P$8</f>
        <v>0.27613871635610759</v>
      </c>
      <c r="Z7" s="51"/>
      <c r="AA7" s="6"/>
      <c r="AB7" s="6"/>
      <c r="AD7" s="24">
        <f t="shared" si="10"/>
        <v>20046</v>
      </c>
      <c r="AE7" s="5">
        <v>37848</v>
      </c>
      <c r="AF7">
        <v>12267</v>
      </c>
      <c r="AG7">
        <v>11395</v>
      </c>
      <c r="AH7">
        <v>0</v>
      </c>
      <c r="AI7">
        <v>0</v>
      </c>
      <c r="AJ7" s="45">
        <f>($AB$8-AD7)/$AB$8</f>
        <v>0.18182263436295956</v>
      </c>
      <c r="AL7" s="51"/>
      <c r="AM7" s="6"/>
      <c r="AN7" s="6"/>
      <c r="AP7" s="24">
        <f t="shared" ref="AP7" si="16">0.4 * AQ7 + 0.4 * AR7 + 0.2 * AU7</f>
        <v>26333.200000000004</v>
      </c>
      <c r="AQ7">
        <v>43341</v>
      </c>
      <c r="AR7">
        <v>22492</v>
      </c>
      <c r="AS7">
        <v>19258</v>
      </c>
      <c r="AT7">
        <v>0</v>
      </c>
      <c r="AU7">
        <v>0</v>
      </c>
      <c r="AV7" s="45">
        <f t="shared" si="4"/>
        <v>8.87661600642249E-2</v>
      </c>
      <c r="AX7" s="51"/>
      <c r="AY7" s="6"/>
      <c r="AZ7" s="6"/>
      <c r="BB7" s="24">
        <f t="shared" si="11"/>
        <v>26586</v>
      </c>
      <c r="BC7" s="5">
        <v>51740</v>
      </c>
      <c r="BD7">
        <v>14725</v>
      </c>
      <c r="BE7">
        <v>0</v>
      </c>
      <c r="BF7">
        <v>0</v>
      </c>
      <c r="BG7">
        <v>0</v>
      </c>
      <c r="BH7" s="45">
        <f>($AZ$8-BB7)/$AZ$8</f>
        <v>5.8356001360081559E-2</v>
      </c>
      <c r="BJ7" s="51"/>
      <c r="BK7" s="6"/>
      <c r="BL7" s="6"/>
      <c r="BN7" s="24">
        <f t="shared" si="12"/>
        <v>38287.599999999999</v>
      </c>
      <c r="BO7" s="5">
        <v>80908</v>
      </c>
      <c r="BP7">
        <v>14811</v>
      </c>
      <c r="BQ7">
        <v>12204</v>
      </c>
      <c r="BR7">
        <v>0</v>
      </c>
      <c r="BS7">
        <v>0</v>
      </c>
      <c r="BT7" s="45">
        <f t="shared" si="6"/>
        <v>6.2947263311437213E-2</v>
      </c>
      <c r="BV7" s="51"/>
      <c r="BW7" s="6"/>
      <c r="BX7" s="6"/>
      <c r="BZ7" s="24">
        <f t="shared" si="13"/>
        <v>20584.400000000001</v>
      </c>
      <c r="CA7" s="5">
        <v>36723</v>
      </c>
      <c r="CB7">
        <v>14738</v>
      </c>
      <c r="CC7">
        <v>11299</v>
      </c>
      <c r="CD7">
        <v>0</v>
      </c>
      <c r="CE7">
        <v>0</v>
      </c>
      <c r="CF7" s="45">
        <f t="shared" si="7"/>
        <v>3.5859484777517499E-2</v>
      </c>
      <c r="CH7" s="51"/>
      <c r="CI7" s="6"/>
      <c r="CJ7" s="6"/>
      <c r="CL7" s="24">
        <f t="shared" si="14"/>
        <v>16156.800000000001</v>
      </c>
      <c r="CM7" s="29">
        <v>24197</v>
      </c>
      <c r="CN7" s="29">
        <v>16195</v>
      </c>
      <c r="CO7">
        <v>11141</v>
      </c>
      <c r="CP7">
        <v>0</v>
      </c>
      <c r="CQ7">
        <v>0</v>
      </c>
      <c r="CR7" s="45">
        <f t="shared" si="8"/>
        <v>0.12850608440493655</v>
      </c>
      <c r="CT7" s="51"/>
      <c r="CU7" s="6"/>
      <c r="CX7" s="6"/>
    </row>
    <row r="8" spans="1:207" s="4" customFormat="1" x14ac:dyDescent="0.3">
      <c r="A8" s="71" t="s">
        <v>6</v>
      </c>
      <c r="B8" s="41" t="s">
        <v>41</v>
      </c>
      <c r="C8" s="41">
        <v>22829</v>
      </c>
      <c r="D8" s="32">
        <v>12422.240000000002</v>
      </c>
      <c r="E8" s="31">
        <v>20558.2</v>
      </c>
      <c r="F8" s="33">
        <v>10497.4</v>
      </c>
      <c r="G8" s="33">
        <v>0</v>
      </c>
      <c r="H8" s="33">
        <v>0</v>
      </c>
      <c r="I8" s="33">
        <v>0</v>
      </c>
      <c r="J8" s="86">
        <v>0.11679540916096966</v>
      </c>
      <c r="K8" s="86">
        <v>3.3525451941597596E-3</v>
      </c>
      <c r="L8" s="83">
        <v>8.2145707108024116E-2</v>
      </c>
      <c r="M8" s="83">
        <v>2.0583447680534617E-3</v>
      </c>
      <c r="N8" s="73">
        <v>9.9469972403521803E-2</v>
      </c>
      <c r="O8" s="27" t="e">
        <v>#DIV/0!</v>
      </c>
      <c r="P8">
        <v>52550.400000000001</v>
      </c>
      <c r="Q8" s="26">
        <v>81057</v>
      </c>
      <c r="R8" s="49">
        <v>38076.680000000008</v>
      </c>
      <c r="S8">
        <v>74682</v>
      </c>
      <c r="T8">
        <v>20147.400000000001</v>
      </c>
      <c r="U8">
        <v>653.4</v>
      </c>
      <c r="V8">
        <v>0</v>
      </c>
      <c r="W8">
        <v>724.6</v>
      </c>
      <c r="X8" s="83">
        <v>0.27542549628547058</v>
      </c>
      <c r="Y8" s="85">
        <v>6.513360478556364E-3</v>
      </c>
      <c r="Z8" s="73">
        <v>7.8648358562493054E-2</v>
      </c>
      <c r="AA8" s="27" t="e">
        <v>#DIV/0!</v>
      </c>
      <c r="AB8">
        <v>24500.799999999999</v>
      </c>
      <c r="AC8">
        <v>48120</v>
      </c>
      <c r="AD8" s="49">
        <v>20075.52</v>
      </c>
      <c r="AE8">
        <v>37935.199999999997</v>
      </c>
      <c r="AF8">
        <v>12253.6</v>
      </c>
      <c r="AG8">
        <v>12884.4</v>
      </c>
      <c r="AH8">
        <v>0</v>
      </c>
      <c r="AI8">
        <v>0</v>
      </c>
      <c r="AJ8" s="27">
        <v>0.18061777574609805</v>
      </c>
      <c r="AK8" s="27">
        <v>3.4966879552669945E-3</v>
      </c>
      <c r="AL8" s="73">
        <v>0.21165419783873654</v>
      </c>
      <c r="AM8" s="27" t="e">
        <v>#DIV/0!</v>
      </c>
      <c r="AN8">
        <v>28898.400000000001</v>
      </c>
      <c r="AO8">
        <v>48676</v>
      </c>
      <c r="AP8" s="49">
        <v>26397.760000000002</v>
      </c>
      <c r="AQ8">
        <v>43475.199999999997</v>
      </c>
      <c r="AR8">
        <v>22519.200000000001</v>
      </c>
      <c r="AS8">
        <v>18971.400000000001</v>
      </c>
      <c r="AT8">
        <v>0</v>
      </c>
      <c r="AU8">
        <v>0</v>
      </c>
      <c r="AV8" s="83">
        <v>8.6532126346095264E-2</v>
      </c>
      <c r="AW8" s="83">
        <v>4.1174923408411977E-3</v>
      </c>
      <c r="AX8" s="73">
        <v>0.10684526255238727</v>
      </c>
      <c r="AY8" s="27" t="e">
        <v>#DIV/0!</v>
      </c>
      <c r="AZ8">
        <v>28233.599999999999</v>
      </c>
      <c r="BA8">
        <v>55474</v>
      </c>
      <c r="BB8" s="49">
        <v>26586</v>
      </c>
      <c r="BC8">
        <v>51740</v>
      </c>
      <c r="BD8">
        <v>14725</v>
      </c>
      <c r="BE8">
        <v>0</v>
      </c>
      <c r="BF8">
        <v>0</v>
      </c>
      <c r="BG8">
        <v>0</v>
      </c>
      <c r="BH8" s="27">
        <v>5.8356001360081559E-2</v>
      </c>
      <c r="BI8" s="27">
        <v>7.7579192288977285E-18</v>
      </c>
      <c r="BJ8" s="73">
        <v>6.7310812272415907E-2</v>
      </c>
      <c r="BK8" s="27" t="e">
        <v>#DIV/0!</v>
      </c>
      <c r="BL8">
        <v>40859.599999999999</v>
      </c>
      <c r="BM8">
        <v>86423</v>
      </c>
      <c r="BN8" s="49">
        <v>38225.680000000008</v>
      </c>
      <c r="BO8">
        <v>80741</v>
      </c>
      <c r="BP8">
        <v>14823.2</v>
      </c>
      <c r="BQ8">
        <v>12130</v>
      </c>
      <c r="BR8">
        <v>0</v>
      </c>
      <c r="BS8">
        <v>0</v>
      </c>
      <c r="BT8" s="27">
        <v>6.4462696649012496E-2</v>
      </c>
      <c r="BU8" s="27">
        <v>1.2453690869372138E-3</v>
      </c>
      <c r="BV8" s="73">
        <v>6.5746386957175745E-2</v>
      </c>
      <c r="BW8" s="27" t="e">
        <v>#DIV/0!</v>
      </c>
      <c r="BX8">
        <v>21350</v>
      </c>
      <c r="BY8">
        <v>38534</v>
      </c>
      <c r="BZ8" s="49">
        <v>20589.760000000002</v>
      </c>
      <c r="CA8">
        <v>36736.199999999997</v>
      </c>
      <c r="CB8">
        <v>14738.2</v>
      </c>
      <c r="CC8">
        <v>11305.4</v>
      </c>
      <c r="CD8">
        <v>0</v>
      </c>
      <c r="CE8">
        <v>0</v>
      </c>
      <c r="CF8" s="83">
        <v>3.5923948674721484E-2</v>
      </c>
      <c r="CG8" s="83">
        <v>3.1894906908412992E-3</v>
      </c>
      <c r="CH8" s="73">
        <v>4.6654902164322491E-2</v>
      </c>
      <c r="CI8" s="27" t="e">
        <v>#DIV/0!</v>
      </c>
      <c r="CJ8">
        <v>18539.2</v>
      </c>
      <c r="CK8">
        <v>28067</v>
      </c>
      <c r="CL8" s="49">
        <v>15745.039999999999</v>
      </c>
      <c r="CM8">
        <v>23218.2</v>
      </c>
      <c r="CN8">
        <v>16144.4</v>
      </c>
      <c r="CO8">
        <v>10131.4</v>
      </c>
      <c r="CP8">
        <v>0</v>
      </c>
      <c r="CQ8">
        <v>0</v>
      </c>
      <c r="CR8" s="83">
        <v>0.15089952111825367</v>
      </c>
      <c r="CS8" s="83">
        <v>6.1996162327815378E-3</v>
      </c>
      <c r="CT8" s="73">
        <v>0.17275804325364305</v>
      </c>
      <c r="CU8" s="27" t="e">
        <v>#DIV/0!</v>
      </c>
      <c r="CV8"/>
      <c r="CW8" s="86">
        <v>0.11679540916096966</v>
      </c>
      <c r="CX8" s="109">
        <v>3.3525451941597596E-3</v>
      </c>
      <c r="CY8"/>
      <c r="CZ8"/>
      <c r="DA8"/>
      <c r="DB8"/>
      <c r="DC8"/>
      <c r="DD8"/>
      <c r="DE8"/>
      <c r="DF8"/>
      <c r="DG8"/>
      <c r="DH8"/>
      <c r="DI8"/>
      <c r="GV8" s="4" t="e">
        <v>#DIV/0!</v>
      </c>
      <c r="GW8" s="4" t="e">
        <v>#DIV/0!</v>
      </c>
      <c r="GX8" s="4" t="e">
        <v>#DIV/0!</v>
      </c>
      <c r="GY8" s="4" t="e">
        <v>#DIV/0!</v>
      </c>
    </row>
    <row r="9" spans="1:207" hidden="1" x14ac:dyDescent="0.3">
      <c r="A9" s="14" t="s">
        <v>8</v>
      </c>
      <c r="B9" s="23"/>
      <c r="C9" s="23"/>
      <c r="D9" s="24">
        <v>12434.4</v>
      </c>
      <c r="E9" s="5">
        <v>20611</v>
      </c>
      <c r="F9">
        <v>10475</v>
      </c>
      <c r="G9">
        <v>0</v>
      </c>
      <c r="H9">
        <v>0</v>
      </c>
      <c r="I9">
        <v>0</v>
      </c>
      <c r="J9" s="27">
        <v>0.11726579255853378</v>
      </c>
      <c r="K9" s="27">
        <v>0</v>
      </c>
      <c r="L9" s="27">
        <v>8.1254017629543207E-2</v>
      </c>
      <c r="N9" s="73"/>
      <c r="R9" s="49">
        <v>37719.000000000007</v>
      </c>
      <c r="S9" s="42">
        <v>73899</v>
      </c>
      <c r="T9">
        <v>20039</v>
      </c>
      <c r="U9">
        <v>235</v>
      </c>
      <c r="V9">
        <v>0</v>
      </c>
      <c r="W9">
        <v>719</v>
      </c>
      <c r="X9" s="27">
        <v>0.28224557290576452</v>
      </c>
      <c r="Z9" s="73"/>
      <c r="AD9" s="49">
        <v>19962.400000000001</v>
      </c>
      <c r="AE9">
        <v>37680</v>
      </c>
      <c r="AF9">
        <v>12226</v>
      </c>
      <c r="AG9">
        <v>12671</v>
      </c>
      <c r="AH9">
        <v>0</v>
      </c>
      <c r="AI9">
        <v>0</v>
      </c>
      <c r="AJ9" s="27">
        <v>0.18526802112497848</v>
      </c>
      <c r="AL9" s="73"/>
      <c r="AP9" s="49">
        <v>26677.600000000002</v>
      </c>
      <c r="AQ9">
        <v>44069</v>
      </c>
      <c r="AR9">
        <v>22625</v>
      </c>
      <c r="AS9">
        <v>15242</v>
      </c>
      <c r="AT9">
        <v>0</v>
      </c>
      <c r="AU9">
        <v>0</v>
      </c>
      <c r="AV9" s="27">
        <v>7.6880488868280972E-2</v>
      </c>
      <c r="AX9" s="73"/>
      <c r="BB9" s="49">
        <v>26586</v>
      </c>
      <c r="BC9">
        <v>51740</v>
      </c>
      <c r="BD9">
        <v>14725</v>
      </c>
      <c r="BE9">
        <v>0</v>
      </c>
      <c r="BF9">
        <v>0</v>
      </c>
      <c r="BG9">
        <v>0</v>
      </c>
      <c r="BH9" s="27">
        <v>5.8389352071571712E-2</v>
      </c>
      <c r="BJ9" s="73"/>
      <c r="BN9" s="49">
        <v>38226.400000000001</v>
      </c>
      <c r="BO9">
        <v>80722</v>
      </c>
      <c r="BP9">
        <v>14844</v>
      </c>
      <c r="BQ9">
        <v>12199</v>
      </c>
      <c r="BR9">
        <v>0</v>
      </c>
      <c r="BS9">
        <v>0</v>
      </c>
      <c r="BT9" s="27">
        <v>6.4467971591214937E-2</v>
      </c>
      <c r="BV9" s="73"/>
      <c r="BZ9" s="49">
        <v>20491.2</v>
      </c>
      <c r="CA9">
        <v>36500</v>
      </c>
      <c r="CB9">
        <v>14728</v>
      </c>
      <c r="CC9">
        <v>11304</v>
      </c>
      <c r="CD9">
        <v>0</v>
      </c>
      <c r="CE9">
        <v>0</v>
      </c>
      <c r="CF9" s="27">
        <v>4.0269776591260326E-2</v>
      </c>
      <c r="CH9" s="73"/>
      <c r="CL9" s="49">
        <v>15771.2</v>
      </c>
      <c r="CM9" s="29">
        <v>23281</v>
      </c>
      <c r="CN9" s="29">
        <v>16147</v>
      </c>
      <c r="CO9">
        <v>9764</v>
      </c>
      <c r="CP9">
        <v>0</v>
      </c>
      <c r="CQ9">
        <v>0</v>
      </c>
      <c r="CR9" s="27">
        <v>0.14935113968565603</v>
      </c>
      <c r="CT9" s="73"/>
      <c r="CW9" s="27">
        <v>0.11726579255853378</v>
      </c>
      <c r="CX9" s="74">
        <v>0</v>
      </c>
    </row>
    <row r="10" spans="1:207" hidden="1" x14ac:dyDescent="0.3">
      <c r="A10" s="14" t="s">
        <v>8</v>
      </c>
      <c r="B10" s="23"/>
      <c r="C10" s="23"/>
      <c r="D10" s="24">
        <v>12490.800000000001</v>
      </c>
      <c r="E10" s="5">
        <v>20823</v>
      </c>
      <c r="F10">
        <v>10404</v>
      </c>
      <c r="G10">
        <v>0</v>
      </c>
      <c r="H10">
        <v>0</v>
      </c>
      <c r="I10">
        <v>0</v>
      </c>
      <c r="J10" s="27">
        <v>0.1161727471207713</v>
      </c>
      <c r="K10" s="27">
        <v>0</v>
      </c>
      <c r="L10" s="27">
        <v>7.7086766020644099E-2</v>
      </c>
      <c r="N10" s="73"/>
      <c r="R10" s="49">
        <v>37617.199999999997</v>
      </c>
      <c r="S10" s="42">
        <v>73663</v>
      </c>
      <c r="T10">
        <v>20015</v>
      </c>
      <c r="U10">
        <v>206</v>
      </c>
      <c r="V10">
        <v>0</v>
      </c>
      <c r="W10">
        <v>730</v>
      </c>
      <c r="X10" s="27">
        <v>0.28418272396168331</v>
      </c>
      <c r="Z10" s="73"/>
      <c r="AD10" s="49">
        <v>20046</v>
      </c>
      <c r="AE10">
        <v>37848</v>
      </c>
      <c r="AF10">
        <v>12267</v>
      </c>
      <c r="AG10">
        <v>12904</v>
      </c>
      <c r="AH10">
        <v>0</v>
      </c>
      <c r="AI10">
        <v>0</v>
      </c>
      <c r="AJ10" s="27">
        <v>0.18185602690414579</v>
      </c>
      <c r="AL10" s="73"/>
      <c r="AP10" s="49">
        <v>26636.800000000003</v>
      </c>
      <c r="AQ10">
        <v>43986</v>
      </c>
      <c r="AR10">
        <v>22606</v>
      </c>
      <c r="AS10">
        <v>0</v>
      </c>
      <c r="AT10">
        <v>0</v>
      </c>
      <c r="AU10">
        <v>0</v>
      </c>
      <c r="AV10" s="27">
        <v>7.8292282884765724E-2</v>
      </c>
      <c r="AX10" s="73"/>
      <c r="BB10" s="49">
        <v>26586</v>
      </c>
      <c r="BC10">
        <v>51740</v>
      </c>
      <c r="BD10">
        <v>14725</v>
      </c>
      <c r="BE10">
        <v>0</v>
      </c>
      <c r="BF10">
        <v>0</v>
      </c>
      <c r="BG10">
        <v>0</v>
      </c>
      <c r="BH10" s="27">
        <v>5.8389352071571712E-2</v>
      </c>
      <c r="BJ10" s="73"/>
      <c r="BN10" s="49">
        <v>38274.800000000003</v>
      </c>
      <c r="BO10">
        <v>80876</v>
      </c>
      <c r="BP10">
        <v>14811</v>
      </c>
      <c r="BQ10">
        <v>12198</v>
      </c>
      <c r="BR10">
        <v>0</v>
      </c>
      <c r="BS10">
        <v>0</v>
      </c>
      <c r="BT10" s="27">
        <v>6.3283456434805069E-2</v>
      </c>
      <c r="BV10" s="73"/>
      <c r="BZ10" s="49">
        <v>20584.400000000001</v>
      </c>
      <c r="CA10">
        <v>36723</v>
      </c>
      <c r="CB10">
        <v>14738</v>
      </c>
      <c r="CC10">
        <v>11299</v>
      </c>
      <c r="CD10">
        <v>0</v>
      </c>
      <c r="CE10">
        <v>0</v>
      </c>
      <c r="CF10" s="27">
        <v>3.5904641468783596E-2</v>
      </c>
      <c r="CH10" s="73"/>
      <c r="CL10" s="49">
        <v>15752</v>
      </c>
      <c r="CM10" s="29">
        <v>23235</v>
      </c>
      <c r="CN10" s="29">
        <v>16145</v>
      </c>
      <c r="CO10">
        <v>9766</v>
      </c>
      <c r="CP10">
        <v>0</v>
      </c>
      <c r="CQ10">
        <v>0</v>
      </c>
      <c r="CR10" s="27">
        <v>0.15038672721977112</v>
      </c>
      <c r="CT10" s="73"/>
      <c r="CW10" s="27">
        <v>0.1161727471207713</v>
      </c>
      <c r="CX10" s="74">
        <v>0</v>
      </c>
    </row>
    <row r="11" spans="1:207" hidden="1" x14ac:dyDescent="0.3">
      <c r="A11" s="14" t="s">
        <v>8</v>
      </c>
      <c r="B11" s="23"/>
      <c r="C11" s="23"/>
      <c r="D11" s="24">
        <v>12426.400000000001</v>
      </c>
      <c r="E11" s="5">
        <v>20547</v>
      </c>
      <c r="F11">
        <v>10519</v>
      </c>
      <c r="G11">
        <v>0</v>
      </c>
      <c r="H11">
        <v>0</v>
      </c>
      <c r="I11">
        <v>0</v>
      </c>
      <c r="J11" s="27">
        <v>0.1155572429228276</v>
      </c>
      <c r="K11" s="27">
        <v>0</v>
      </c>
      <c r="L11" s="27">
        <v>8.1845117148535831E-2</v>
      </c>
      <c r="N11" s="73"/>
      <c r="R11" s="49">
        <v>38162.200000000004</v>
      </c>
      <c r="S11" s="42">
        <v>74762</v>
      </c>
      <c r="T11">
        <v>20259</v>
      </c>
      <c r="U11">
        <v>1162</v>
      </c>
      <c r="V11">
        <v>0</v>
      </c>
      <c r="W11">
        <v>769</v>
      </c>
      <c r="X11" s="27">
        <v>0.27381192508667695</v>
      </c>
      <c r="Z11" s="73"/>
      <c r="AD11" s="49">
        <v>19962.400000000001</v>
      </c>
      <c r="AE11">
        <v>37680</v>
      </c>
      <c r="AF11">
        <v>12226</v>
      </c>
      <c r="AG11">
        <v>12671</v>
      </c>
      <c r="AH11">
        <v>0</v>
      </c>
      <c r="AI11">
        <v>0</v>
      </c>
      <c r="AJ11" s="27">
        <v>0.18526802112497848</v>
      </c>
      <c r="AL11" s="73"/>
      <c r="AP11" s="49">
        <v>26636.800000000003</v>
      </c>
      <c r="AQ11">
        <v>43986</v>
      </c>
      <c r="AR11">
        <v>22606</v>
      </c>
      <c r="AS11">
        <v>0</v>
      </c>
      <c r="AT11">
        <v>0</v>
      </c>
      <c r="AU11">
        <v>0</v>
      </c>
      <c r="AV11" s="27">
        <v>7.8292282884765724E-2</v>
      </c>
      <c r="AX11" s="73"/>
      <c r="BB11" s="49">
        <v>26586</v>
      </c>
      <c r="BC11">
        <v>51740</v>
      </c>
      <c r="BD11">
        <v>14725</v>
      </c>
      <c r="BE11">
        <v>0</v>
      </c>
      <c r="BF11">
        <v>0</v>
      </c>
      <c r="BG11">
        <v>0</v>
      </c>
      <c r="BH11" s="27">
        <v>5.8389352071571712E-2</v>
      </c>
      <c r="BJ11" s="73"/>
      <c r="BN11" s="49">
        <v>38188.400000000001</v>
      </c>
      <c r="BO11">
        <v>80640</v>
      </c>
      <c r="BP11">
        <v>14831</v>
      </c>
      <c r="BQ11">
        <v>12039</v>
      </c>
      <c r="BR11">
        <v>0</v>
      </c>
      <c r="BS11">
        <v>0</v>
      </c>
      <c r="BT11" s="27">
        <v>6.5397962829718534E-2</v>
      </c>
      <c r="BV11" s="73"/>
      <c r="BZ11" s="49">
        <v>20674.8</v>
      </c>
      <c r="CA11">
        <v>36955</v>
      </c>
      <c r="CB11">
        <v>14732</v>
      </c>
      <c r="CC11">
        <v>11305</v>
      </c>
      <c r="CD11">
        <v>0</v>
      </c>
      <c r="CE11">
        <v>0</v>
      </c>
      <c r="CF11" s="27">
        <v>3.1670647744836342E-2</v>
      </c>
      <c r="CH11" s="73"/>
      <c r="CL11" s="49">
        <v>15763.2</v>
      </c>
      <c r="CM11" s="29">
        <v>23261</v>
      </c>
      <c r="CN11" s="29">
        <v>16147</v>
      </c>
      <c r="CO11">
        <v>9764</v>
      </c>
      <c r="CP11">
        <v>0</v>
      </c>
      <c r="CQ11">
        <v>0</v>
      </c>
      <c r="CR11" s="27">
        <v>0.14978263449153731</v>
      </c>
      <c r="CT11" s="73"/>
      <c r="CW11" s="27">
        <v>0.1155572429228276</v>
      </c>
      <c r="CX11" s="74">
        <v>0</v>
      </c>
    </row>
    <row r="12" spans="1:207" hidden="1" x14ac:dyDescent="0.3">
      <c r="A12" s="14" t="s">
        <v>8</v>
      </c>
      <c r="B12" s="23"/>
      <c r="C12" s="23"/>
      <c r="D12" s="24">
        <v>12426.400000000001</v>
      </c>
      <c r="E12" s="5">
        <v>20547</v>
      </c>
      <c r="F12">
        <v>10519</v>
      </c>
      <c r="G12">
        <v>0</v>
      </c>
      <c r="H12">
        <v>0</v>
      </c>
      <c r="I12">
        <v>0</v>
      </c>
      <c r="J12" s="27">
        <v>0.11335829015309321</v>
      </c>
      <c r="K12" s="27">
        <v>0</v>
      </c>
      <c r="L12" s="27">
        <v>8.1845117148535831E-2</v>
      </c>
      <c r="N12" s="73"/>
      <c r="R12" s="49">
        <v>39150.6</v>
      </c>
      <c r="S12" s="42">
        <v>77055</v>
      </c>
      <c r="T12">
        <v>20494</v>
      </c>
      <c r="U12">
        <v>400</v>
      </c>
      <c r="V12">
        <v>0</v>
      </c>
      <c r="W12">
        <v>655</v>
      </c>
      <c r="X12" s="27">
        <v>0.25500367259483103</v>
      </c>
      <c r="Z12" s="73"/>
      <c r="AD12" s="49">
        <v>20161.599999999999</v>
      </c>
      <c r="AE12">
        <v>38150</v>
      </c>
      <c r="AF12">
        <v>12254</v>
      </c>
      <c r="AG12">
        <v>11141</v>
      </c>
      <c r="AH12">
        <v>0</v>
      </c>
      <c r="AI12">
        <v>0</v>
      </c>
      <c r="AJ12" s="27">
        <v>0.17713800618730055</v>
      </c>
      <c r="AL12" s="73"/>
      <c r="AP12" s="49">
        <v>26374.400000000001</v>
      </c>
      <c r="AQ12">
        <v>43410</v>
      </c>
      <c r="AR12">
        <v>22526</v>
      </c>
      <c r="AS12">
        <v>20154</v>
      </c>
      <c r="AT12">
        <v>0</v>
      </c>
      <c r="AU12">
        <v>0</v>
      </c>
      <c r="AV12" s="27">
        <v>8.737205616725606E-2</v>
      </c>
      <c r="AX12" s="73"/>
      <c r="BB12" s="49">
        <v>26586</v>
      </c>
      <c r="BC12">
        <v>51740</v>
      </c>
      <c r="BD12">
        <v>14725</v>
      </c>
      <c r="BE12">
        <v>0</v>
      </c>
      <c r="BF12">
        <v>0</v>
      </c>
      <c r="BG12">
        <v>0</v>
      </c>
      <c r="BH12" s="27">
        <v>5.8389352071571712E-2</v>
      </c>
      <c r="BJ12" s="73"/>
      <c r="BN12" s="49">
        <v>38188.400000000001</v>
      </c>
      <c r="BO12">
        <v>80640</v>
      </c>
      <c r="BP12">
        <v>14831</v>
      </c>
      <c r="BQ12">
        <v>12137</v>
      </c>
      <c r="BR12">
        <v>0</v>
      </c>
      <c r="BS12">
        <v>0</v>
      </c>
      <c r="BT12" s="27">
        <v>6.5397962829718534E-2</v>
      </c>
      <c r="BV12" s="73"/>
      <c r="BZ12" s="49">
        <v>20682</v>
      </c>
      <c r="CA12">
        <v>36955</v>
      </c>
      <c r="CB12">
        <v>14750</v>
      </c>
      <c r="CC12">
        <v>11287</v>
      </c>
      <c r="CD12">
        <v>0</v>
      </c>
      <c r="CE12">
        <v>0</v>
      </c>
      <c r="CF12" s="27">
        <v>3.1333427005760854E-2</v>
      </c>
      <c r="CH12" s="73"/>
      <c r="CL12" s="49">
        <v>15752</v>
      </c>
      <c r="CM12" s="29">
        <v>23235</v>
      </c>
      <c r="CN12" s="29">
        <v>16145</v>
      </c>
      <c r="CO12">
        <v>9766</v>
      </c>
      <c r="CP12">
        <v>0</v>
      </c>
      <c r="CQ12">
        <v>0</v>
      </c>
      <c r="CR12" s="27">
        <v>0.15038672721977112</v>
      </c>
      <c r="CT12" s="73"/>
      <c r="CW12" s="27">
        <v>0.11335829015309321</v>
      </c>
      <c r="CX12" s="74">
        <v>0</v>
      </c>
    </row>
    <row r="13" spans="1:207" hidden="1" x14ac:dyDescent="0.3">
      <c r="A13" s="14" t="s">
        <v>8</v>
      </c>
      <c r="B13" s="23"/>
      <c r="C13" s="23"/>
      <c r="D13" s="24">
        <v>12442</v>
      </c>
      <c r="E13" s="5">
        <v>20555</v>
      </c>
      <c r="F13">
        <v>10550</v>
      </c>
      <c r="G13">
        <v>0</v>
      </c>
      <c r="H13">
        <v>0</v>
      </c>
      <c r="I13">
        <v>0</v>
      </c>
      <c r="J13" s="27">
        <v>0.11519762961123871</v>
      </c>
      <c r="K13" s="27">
        <v>0</v>
      </c>
      <c r="L13" s="27">
        <v>8.0692473086500044E-2</v>
      </c>
      <c r="N13" s="73"/>
      <c r="R13" s="49">
        <v>38492.600000000006</v>
      </c>
      <c r="S13" s="42">
        <v>75582</v>
      </c>
      <c r="T13">
        <v>20175</v>
      </c>
      <c r="U13">
        <v>453</v>
      </c>
      <c r="V13">
        <v>0</v>
      </c>
      <c r="W13">
        <v>949</v>
      </c>
      <c r="X13" s="27">
        <v>0.26752474719988423</v>
      </c>
      <c r="Z13" s="73"/>
      <c r="AD13" s="49">
        <v>20070.800000000003</v>
      </c>
      <c r="AE13">
        <v>37898</v>
      </c>
      <c r="AF13">
        <v>12279</v>
      </c>
      <c r="AG13">
        <v>12007</v>
      </c>
      <c r="AH13">
        <v>0</v>
      </c>
      <c r="AI13">
        <v>0</v>
      </c>
      <c r="AJ13" s="27">
        <v>0.18084385636973596</v>
      </c>
      <c r="AL13" s="73"/>
      <c r="AP13" s="49">
        <v>26374.400000000001</v>
      </c>
      <c r="AQ13">
        <v>43410</v>
      </c>
      <c r="AR13">
        <v>22526</v>
      </c>
      <c r="AS13">
        <v>20154</v>
      </c>
      <c r="AT13">
        <v>0</v>
      </c>
      <c r="AU13">
        <v>0</v>
      </c>
      <c r="AV13" s="27">
        <v>8.737205616725606E-2</v>
      </c>
      <c r="AX13" s="73"/>
      <c r="BB13" s="49">
        <v>26586</v>
      </c>
      <c r="BC13">
        <v>51740</v>
      </c>
      <c r="BD13">
        <v>14725</v>
      </c>
      <c r="BE13">
        <v>0</v>
      </c>
      <c r="BF13">
        <v>0</v>
      </c>
      <c r="BG13">
        <v>0</v>
      </c>
      <c r="BH13" s="27">
        <v>5.8389352071571712E-2</v>
      </c>
      <c r="BJ13" s="73"/>
      <c r="BN13" s="49">
        <v>38188.400000000001</v>
      </c>
      <c r="BO13">
        <v>80640</v>
      </c>
      <c r="BP13">
        <v>14831</v>
      </c>
      <c r="BQ13">
        <v>12039</v>
      </c>
      <c r="BR13">
        <v>0</v>
      </c>
      <c r="BS13">
        <v>0</v>
      </c>
      <c r="BT13" s="27">
        <v>6.5397962829718534E-2</v>
      </c>
      <c r="BV13" s="73"/>
      <c r="BZ13" s="49">
        <v>20634.400000000001</v>
      </c>
      <c r="CA13">
        <v>36833</v>
      </c>
      <c r="CB13">
        <v>14753</v>
      </c>
      <c r="CC13">
        <v>11284</v>
      </c>
      <c r="CD13">
        <v>0</v>
      </c>
      <c r="CE13">
        <v>0</v>
      </c>
      <c r="CF13" s="27">
        <v>3.3562830780759619E-2</v>
      </c>
      <c r="CH13" s="73"/>
      <c r="CL13" s="49">
        <v>15800</v>
      </c>
      <c r="CM13" s="29">
        <v>23349</v>
      </c>
      <c r="CN13" s="30">
        <v>16151</v>
      </c>
      <c r="CO13">
        <v>9760</v>
      </c>
      <c r="CP13">
        <v>0</v>
      </c>
      <c r="CQ13">
        <v>0</v>
      </c>
      <c r="CR13" s="27">
        <v>0.14779775838448347</v>
      </c>
      <c r="CT13" s="73"/>
      <c r="CW13" s="27">
        <v>0.11519762961123871</v>
      </c>
      <c r="CX13" s="74">
        <v>0</v>
      </c>
    </row>
    <row r="14" spans="1:207" s="4" customFormat="1" x14ac:dyDescent="0.3">
      <c r="A14" s="15" t="s">
        <v>8</v>
      </c>
      <c r="B14" s="41" t="s">
        <v>42</v>
      </c>
      <c r="C14" s="41">
        <v>22829</v>
      </c>
      <c r="D14" s="25">
        <v>12444.000000000002</v>
      </c>
      <c r="E14" s="7">
        <v>20616.599999999999</v>
      </c>
      <c r="F14" s="4">
        <v>10493.4</v>
      </c>
      <c r="G14" s="4">
        <v>0</v>
      </c>
      <c r="H14" s="4">
        <v>0</v>
      </c>
      <c r="I14" s="4">
        <v>0</v>
      </c>
      <c r="J14" s="27">
        <v>0.11400723853926528</v>
      </c>
      <c r="K14" s="27">
        <v>5.2792909864249338E-3</v>
      </c>
      <c r="L14" s="27">
        <v>8.0544698206751725E-2</v>
      </c>
      <c r="M14" s="84">
        <v>1.9915098110889844E-3</v>
      </c>
      <c r="N14" s="73">
        <v>9.6911822681676876E-2</v>
      </c>
      <c r="O14" s="27" t="e">
        <v>#DIV/0!</v>
      </c>
      <c r="P14">
        <v>52551.4</v>
      </c>
      <c r="Q14" s="26">
        <v>81057</v>
      </c>
      <c r="R14" s="49">
        <v>38228.320000000007</v>
      </c>
      <c r="S14">
        <v>74992.2</v>
      </c>
      <c r="T14">
        <v>20196.400000000001</v>
      </c>
      <c r="U14">
        <v>491.2</v>
      </c>
      <c r="V14">
        <v>0</v>
      </c>
      <c r="W14">
        <v>764.4</v>
      </c>
      <c r="X14" s="27">
        <v>0.27255372834976793</v>
      </c>
      <c r="Y14" s="27">
        <v>1.187480060122691E-2</v>
      </c>
      <c r="Z14" s="73">
        <v>7.4821421962322845E-2</v>
      </c>
      <c r="AA14" s="27" t="e">
        <v>#DIV/0!</v>
      </c>
      <c r="AB14">
        <v>24501.8</v>
      </c>
      <c r="AC14">
        <v>48120</v>
      </c>
      <c r="AD14" s="49">
        <v>20040.64</v>
      </c>
      <c r="AE14">
        <v>37851.199999999997</v>
      </c>
      <c r="AF14">
        <v>12250.4</v>
      </c>
      <c r="AG14">
        <v>12278.8</v>
      </c>
      <c r="AH14">
        <v>0</v>
      </c>
      <c r="AI14">
        <v>0</v>
      </c>
      <c r="AJ14" s="83">
        <v>0.18207478634222793</v>
      </c>
      <c r="AK14" s="85">
        <v>3.4032462202487554E-3</v>
      </c>
      <c r="AL14" s="73">
        <v>0.21339983374896099</v>
      </c>
      <c r="AM14" s="27" t="e">
        <v>#DIV/0!</v>
      </c>
      <c r="AN14">
        <v>28899.4</v>
      </c>
      <c r="AO14">
        <v>48676</v>
      </c>
      <c r="AP14" s="49">
        <v>26540</v>
      </c>
      <c r="AQ14">
        <v>43772.2</v>
      </c>
      <c r="AR14">
        <v>22577.8</v>
      </c>
      <c r="AS14">
        <v>11110</v>
      </c>
      <c r="AT14">
        <v>0</v>
      </c>
      <c r="AU14">
        <v>0</v>
      </c>
      <c r="AV14" s="27">
        <v>8.1641833394464985E-2</v>
      </c>
      <c r="AW14" s="27">
        <v>5.2626106872611829E-3</v>
      </c>
      <c r="AX14" s="73">
        <v>0.10074369299038546</v>
      </c>
      <c r="AY14" s="27" t="e">
        <v>#DIV/0!</v>
      </c>
      <c r="AZ14">
        <v>28234.6</v>
      </c>
      <c r="BA14">
        <v>55474</v>
      </c>
      <c r="BB14" s="49">
        <v>26586</v>
      </c>
      <c r="BC14">
        <v>51740</v>
      </c>
      <c r="BD14">
        <v>14725</v>
      </c>
      <c r="BE14">
        <v>0</v>
      </c>
      <c r="BF14">
        <v>0</v>
      </c>
      <c r="BG14">
        <v>0</v>
      </c>
      <c r="BH14" s="27">
        <v>5.8389352071571712E-2</v>
      </c>
      <c r="BI14" s="27">
        <v>0</v>
      </c>
      <c r="BJ14" s="73">
        <v>6.7310812272415907E-2</v>
      </c>
      <c r="BK14" s="27" t="e">
        <v>#DIV/0!</v>
      </c>
      <c r="BL14">
        <v>40860.6</v>
      </c>
      <c r="BM14">
        <v>86423</v>
      </c>
      <c r="BN14" s="49">
        <v>38213.279999999999</v>
      </c>
      <c r="BO14">
        <v>80703.600000000006</v>
      </c>
      <c r="BP14">
        <v>14829.6</v>
      </c>
      <c r="BQ14">
        <v>12122.4</v>
      </c>
      <c r="BR14">
        <v>0</v>
      </c>
      <c r="BS14">
        <v>0</v>
      </c>
      <c r="BT14" s="27">
        <v>6.4789063303035188E-2</v>
      </c>
      <c r="BU14" s="27">
        <v>9.3303641807902858E-4</v>
      </c>
      <c r="BV14" s="73">
        <v>6.6179142126517182E-2</v>
      </c>
      <c r="BW14" s="27" t="e">
        <v>#DIV/0!</v>
      </c>
      <c r="BX14">
        <v>21351</v>
      </c>
      <c r="BY14">
        <v>38534</v>
      </c>
      <c r="BZ14" s="49">
        <v>20613.360000000004</v>
      </c>
      <c r="CA14">
        <v>36793.199999999997</v>
      </c>
      <c r="CB14">
        <v>14740.2</v>
      </c>
      <c r="CC14">
        <v>11295.8</v>
      </c>
      <c r="CD14">
        <v>0</v>
      </c>
      <c r="CE14">
        <v>0</v>
      </c>
      <c r="CF14" s="27">
        <v>3.4548264718279979E-2</v>
      </c>
      <c r="CG14" s="27">
        <v>3.6797553251155446E-3</v>
      </c>
      <c r="CH14" s="73">
        <v>4.5175689001920455E-2</v>
      </c>
      <c r="CI14" s="27" t="e">
        <v>#DIV/0!</v>
      </c>
      <c r="CJ14">
        <v>18540.2</v>
      </c>
      <c r="CK14">
        <v>28067</v>
      </c>
      <c r="CL14" s="49">
        <v>15989.76</v>
      </c>
      <c r="CM14">
        <v>23799.4</v>
      </c>
      <c r="CN14">
        <v>16175</v>
      </c>
      <c r="CO14">
        <v>9771.6</v>
      </c>
      <c r="CP14">
        <v>0</v>
      </c>
      <c r="CQ14">
        <v>0</v>
      </c>
      <c r="CR14" s="27">
        <v>0.13751618192802281</v>
      </c>
      <c r="CS14" s="27">
        <v>1.5089368828379062E-2</v>
      </c>
      <c r="CT14" s="73">
        <v>0.15205045070723622</v>
      </c>
      <c r="CU14" s="27" t="e">
        <v>#DIV/0!</v>
      </c>
      <c r="CV14"/>
      <c r="CW14" s="27">
        <v>0.11400723853926528</v>
      </c>
      <c r="CX14" s="74">
        <v>5.2792909864249338E-3</v>
      </c>
      <c r="CY14"/>
      <c r="CZ14"/>
      <c r="DA14"/>
      <c r="DB14"/>
      <c r="DC14"/>
      <c r="DD14"/>
      <c r="DE14"/>
      <c r="DF14"/>
      <c r="DG14"/>
      <c r="DH14"/>
      <c r="DI14"/>
      <c r="GV14" s="4" t="e">
        <v>#DIV/0!</v>
      </c>
      <c r="GW14" s="4" t="e">
        <v>#DIV/0!</v>
      </c>
      <c r="GX14" s="4" t="e">
        <v>#DIV/0!</v>
      </c>
      <c r="GY14" s="4" t="e">
        <v>#DIV/0!</v>
      </c>
    </row>
    <row r="15" spans="1:207" hidden="1" x14ac:dyDescent="0.3">
      <c r="A15" s="14" t="s">
        <v>7</v>
      </c>
      <c r="B15" s="23"/>
      <c r="C15" s="23"/>
      <c r="D15" s="24">
        <v>12450</v>
      </c>
      <c r="E15" s="5">
        <v>20619</v>
      </c>
      <c r="F15">
        <v>10506</v>
      </c>
      <c r="G15">
        <v>0</v>
      </c>
      <c r="H15">
        <v>0</v>
      </c>
      <c r="I15">
        <v>0</v>
      </c>
      <c r="J15" s="27">
        <v>0.11427397938320316</v>
      </c>
      <c r="K15" s="27">
        <v>0</v>
      </c>
      <c r="L15" s="27">
        <v>8.0108170412732244E-2</v>
      </c>
      <c r="N15" s="73"/>
      <c r="R15" s="49">
        <v>37908.6</v>
      </c>
      <c r="S15" s="42">
        <v>74056</v>
      </c>
      <c r="T15">
        <v>19970</v>
      </c>
      <c r="U15">
        <v>152</v>
      </c>
      <c r="V15">
        <v>0</v>
      </c>
      <c r="W15">
        <v>1491</v>
      </c>
      <c r="X15" s="27">
        <v>0.2786514031709304</v>
      </c>
      <c r="Z15" s="73"/>
      <c r="AD15" s="49">
        <v>20253.2</v>
      </c>
      <c r="AE15">
        <v>38335</v>
      </c>
      <c r="AF15">
        <v>12298</v>
      </c>
      <c r="AG15">
        <v>13509</v>
      </c>
      <c r="AH15">
        <v>0</v>
      </c>
      <c r="AI15">
        <v>0</v>
      </c>
      <c r="AJ15" s="27">
        <v>0.17343324028274315</v>
      </c>
      <c r="AL15" s="73"/>
      <c r="AP15" s="49">
        <v>26636.800000000003</v>
      </c>
      <c r="AQ15">
        <v>43986</v>
      </c>
      <c r="AR15">
        <v>22606</v>
      </c>
      <c r="AS15">
        <v>0</v>
      </c>
      <c r="AT15">
        <v>0</v>
      </c>
      <c r="AU15">
        <v>0</v>
      </c>
      <c r="AV15" s="27">
        <v>7.8324175443938437E-2</v>
      </c>
      <c r="AX15" s="73"/>
      <c r="BB15" s="49">
        <v>26586</v>
      </c>
      <c r="BC15">
        <v>51740</v>
      </c>
      <c r="BD15">
        <v>14725</v>
      </c>
      <c r="BE15">
        <v>0</v>
      </c>
      <c r="BF15">
        <v>0</v>
      </c>
      <c r="BG15">
        <v>0</v>
      </c>
      <c r="BH15" s="27">
        <v>5.8422700420745391E-2</v>
      </c>
      <c r="BJ15" s="73"/>
      <c r="BN15" s="49">
        <v>38274.800000000003</v>
      </c>
      <c r="BO15">
        <v>80876</v>
      </c>
      <c r="BP15">
        <v>14811</v>
      </c>
      <c r="BQ15">
        <v>12003</v>
      </c>
      <c r="BR15">
        <v>0</v>
      </c>
      <c r="BS15">
        <v>0</v>
      </c>
      <c r="BT15" s="27">
        <v>6.3306380562679773E-2</v>
      </c>
      <c r="BV15" s="73"/>
      <c r="BZ15" s="49">
        <v>20643.2</v>
      </c>
      <c r="CA15">
        <v>36864</v>
      </c>
      <c r="CB15">
        <v>14744</v>
      </c>
      <c r="CC15">
        <v>11326</v>
      </c>
      <c r="CD15">
        <v>0</v>
      </c>
      <c r="CE15">
        <v>0</v>
      </c>
      <c r="CF15" s="27">
        <v>3.3195953540651899E-2</v>
      </c>
      <c r="CH15" s="73"/>
      <c r="CL15" s="49">
        <v>15783.2</v>
      </c>
      <c r="CM15" s="29">
        <v>23310</v>
      </c>
      <c r="CN15" s="30">
        <v>16148</v>
      </c>
      <c r="CO15">
        <v>9763</v>
      </c>
      <c r="CP15">
        <v>0</v>
      </c>
      <c r="CQ15">
        <v>0</v>
      </c>
      <c r="CR15" s="27">
        <v>0.14874981123120401</v>
      </c>
      <c r="CT15" s="73"/>
      <c r="CW15" s="27">
        <v>0.11427397938320316</v>
      </c>
      <c r="CX15" s="74">
        <v>0</v>
      </c>
    </row>
    <row r="16" spans="1:207" hidden="1" x14ac:dyDescent="0.3">
      <c r="A16" s="14" t="s">
        <v>7</v>
      </c>
      <c r="B16" s="23"/>
      <c r="C16" s="23"/>
      <c r="D16" s="24">
        <v>12798</v>
      </c>
      <c r="E16" s="5">
        <v>21632</v>
      </c>
      <c r="F16">
        <v>10363</v>
      </c>
      <c r="G16">
        <v>0</v>
      </c>
      <c r="H16">
        <v>0</v>
      </c>
      <c r="I16">
        <v>0</v>
      </c>
      <c r="J16" s="27">
        <v>0.11555976918911612</v>
      </c>
      <c r="K16" s="27">
        <v>0</v>
      </c>
      <c r="L16" s="27">
        <v>5.4395531320654396E-2</v>
      </c>
      <c r="N16" s="73"/>
      <c r="R16" s="49">
        <v>37645.199999999997</v>
      </c>
      <c r="S16" s="42">
        <v>73773</v>
      </c>
      <c r="T16">
        <v>20052</v>
      </c>
      <c r="U16">
        <v>137</v>
      </c>
      <c r="V16">
        <v>0</v>
      </c>
      <c r="W16">
        <v>576</v>
      </c>
      <c r="X16" s="27">
        <v>0.28366354343474331</v>
      </c>
      <c r="Z16" s="73"/>
      <c r="AD16" s="49">
        <v>19962.8</v>
      </c>
      <c r="AE16">
        <v>37680</v>
      </c>
      <c r="AF16">
        <v>12227</v>
      </c>
      <c r="AG16">
        <v>12670</v>
      </c>
      <c r="AH16">
        <v>0</v>
      </c>
      <c r="AI16">
        <v>0</v>
      </c>
      <c r="AJ16" s="27">
        <v>0.18528494702646228</v>
      </c>
      <c r="AL16" s="73"/>
      <c r="AP16" s="49">
        <v>26333.200000000004</v>
      </c>
      <c r="AQ16">
        <v>43341</v>
      </c>
      <c r="AR16">
        <v>22492</v>
      </c>
      <c r="AS16">
        <v>19258</v>
      </c>
      <c r="AT16">
        <v>0</v>
      </c>
      <c r="AU16">
        <v>0</v>
      </c>
      <c r="AV16" s="27">
        <v>8.8829220356811567E-2</v>
      </c>
      <c r="AX16" s="73"/>
      <c r="BB16" s="49">
        <v>26586</v>
      </c>
      <c r="BC16">
        <v>51740</v>
      </c>
      <c r="BD16">
        <v>14725</v>
      </c>
      <c r="BE16">
        <v>0</v>
      </c>
      <c r="BF16">
        <v>0</v>
      </c>
      <c r="BG16">
        <v>0</v>
      </c>
      <c r="BH16" s="27">
        <v>5.8422700420745391E-2</v>
      </c>
      <c r="BJ16" s="73"/>
      <c r="BN16" s="49">
        <v>38189.200000000004</v>
      </c>
      <c r="BO16">
        <v>80641</v>
      </c>
      <c r="BP16">
        <v>14832</v>
      </c>
      <c r="BQ16">
        <v>12129</v>
      </c>
      <c r="BR16">
        <v>0</v>
      </c>
      <c r="BS16">
        <v>0</v>
      </c>
      <c r="BT16" s="27">
        <v>6.5401256925817747E-2</v>
      </c>
      <c r="BV16" s="73"/>
      <c r="BZ16" s="49">
        <v>20503.2</v>
      </c>
      <c r="CA16">
        <v>36529</v>
      </c>
      <c r="CB16">
        <v>14729</v>
      </c>
      <c r="CC16">
        <v>11303</v>
      </c>
      <c r="CD16">
        <v>0</v>
      </c>
      <c r="CE16">
        <v>0</v>
      </c>
      <c r="CF16" s="27">
        <v>3.9752716373173437E-2</v>
      </c>
      <c r="CH16" s="73"/>
      <c r="CL16" s="49">
        <v>15783.6</v>
      </c>
      <c r="CM16" s="29">
        <v>23310</v>
      </c>
      <c r="CN16" s="29">
        <v>16149</v>
      </c>
      <c r="CO16">
        <v>9962</v>
      </c>
      <c r="CP16">
        <v>0</v>
      </c>
      <c r="CQ16">
        <v>0</v>
      </c>
      <c r="CR16" s="27">
        <v>0.14872823765452076</v>
      </c>
      <c r="CT16" s="73"/>
      <c r="CW16" s="27">
        <v>0.11555976918911612</v>
      </c>
      <c r="CX16" s="74">
        <v>0</v>
      </c>
    </row>
    <row r="17" spans="1:207" hidden="1" x14ac:dyDescent="0.3">
      <c r="A17" s="14" t="s">
        <v>7</v>
      </c>
      <c r="B17" s="23"/>
      <c r="C17" s="23"/>
      <c r="D17" s="24">
        <v>12426.400000000001</v>
      </c>
      <c r="E17" s="5">
        <v>20547</v>
      </c>
      <c r="F17">
        <v>10519</v>
      </c>
      <c r="G17">
        <v>0</v>
      </c>
      <c r="H17">
        <v>0</v>
      </c>
      <c r="I17">
        <v>0</v>
      </c>
      <c r="J17" s="27">
        <v>0.11726551953602618</v>
      </c>
      <c r="K17" s="27">
        <v>0</v>
      </c>
      <c r="L17" s="27">
        <v>8.1851901109781092E-2</v>
      </c>
      <c r="N17" s="73"/>
      <c r="R17" s="49">
        <v>37779.800000000003</v>
      </c>
      <c r="S17" s="42">
        <v>74136</v>
      </c>
      <c r="T17">
        <v>20066</v>
      </c>
      <c r="U17">
        <v>251</v>
      </c>
      <c r="V17">
        <v>0</v>
      </c>
      <c r="W17">
        <v>495</v>
      </c>
      <c r="X17" s="27">
        <v>0.28110229028550549</v>
      </c>
      <c r="Z17" s="73"/>
      <c r="AD17" s="49">
        <v>19962.400000000001</v>
      </c>
      <c r="AE17">
        <v>37680</v>
      </c>
      <c r="AF17">
        <v>12226</v>
      </c>
      <c r="AG17">
        <v>11669</v>
      </c>
      <c r="AH17">
        <v>0</v>
      </c>
      <c r="AI17">
        <v>0</v>
      </c>
      <c r="AJ17" s="27">
        <v>0.18530127169139846</v>
      </c>
      <c r="AL17" s="73"/>
      <c r="AP17" s="49">
        <v>26536.400000000001</v>
      </c>
      <c r="AQ17">
        <v>43770</v>
      </c>
      <c r="AR17">
        <v>22571</v>
      </c>
      <c r="AS17">
        <v>0</v>
      </c>
      <c r="AT17">
        <v>0</v>
      </c>
      <c r="AU17">
        <v>0</v>
      </c>
      <c r="AV17" s="27">
        <v>8.1798175803795101E-2</v>
      </c>
      <c r="AX17" s="73"/>
      <c r="BB17" s="49">
        <v>26586</v>
      </c>
      <c r="BC17">
        <v>51740</v>
      </c>
      <c r="BD17">
        <v>14725</v>
      </c>
      <c r="BE17">
        <v>0</v>
      </c>
      <c r="BF17">
        <v>0</v>
      </c>
      <c r="BG17">
        <v>0</v>
      </c>
      <c r="BH17" s="27">
        <v>5.8422700420745391E-2</v>
      </c>
      <c r="BJ17" s="73"/>
      <c r="BN17" s="49">
        <v>38189.200000000004</v>
      </c>
      <c r="BO17">
        <v>80641</v>
      </c>
      <c r="BP17">
        <v>14832</v>
      </c>
      <c r="BQ17">
        <v>12104</v>
      </c>
      <c r="BR17">
        <v>0</v>
      </c>
      <c r="BS17">
        <v>0</v>
      </c>
      <c r="BT17" s="27">
        <v>6.5401256925817747E-2</v>
      </c>
      <c r="BV17" s="73"/>
      <c r="BZ17" s="49">
        <v>20584.400000000001</v>
      </c>
      <c r="CA17">
        <v>36723</v>
      </c>
      <c r="CB17">
        <v>14738</v>
      </c>
      <c r="CC17">
        <v>11299</v>
      </c>
      <c r="CD17">
        <v>0</v>
      </c>
      <c r="CE17">
        <v>0</v>
      </c>
      <c r="CF17" s="27">
        <v>3.5949793930310912E-2</v>
      </c>
      <c r="CH17" s="73"/>
      <c r="CL17" s="49">
        <v>15791.6</v>
      </c>
      <c r="CM17" s="29">
        <v>23329</v>
      </c>
      <c r="CN17" s="30">
        <v>16150</v>
      </c>
      <c r="CO17">
        <v>9761</v>
      </c>
      <c r="CP17">
        <v>0</v>
      </c>
      <c r="CQ17">
        <v>0</v>
      </c>
      <c r="CR17" s="27">
        <v>0.14829676612085518</v>
      </c>
      <c r="CT17" s="73"/>
      <c r="CW17" s="27">
        <v>0.11726551953602618</v>
      </c>
      <c r="CX17" s="74">
        <v>0</v>
      </c>
    </row>
    <row r="18" spans="1:207" hidden="1" x14ac:dyDescent="0.3">
      <c r="A18" s="14" t="s">
        <v>7</v>
      </c>
      <c r="B18" s="23"/>
      <c r="C18" s="23"/>
      <c r="D18" s="24">
        <v>12442</v>
      </c>
      <c r="E18" s="5">
        <v>20555</v>
      </c>
      <c r="F18">
        <v>10550</v>
      </c>
      <c r="G18">
        <v>0</v>
      </c>
      <c r="H18">
        <v>0</v>
      </c>
      <c r="I18">
        <v>0</v>
      </c>
      <c r="J18" s="27">
        <v>0.11421023869379089</v>
      </c>
      <c r="K18" s="27">
        <v>0</v>
      </c>
      <c r="L18" s="27">
        <v>8.0699265564274258E-2</v>
      </c>
      <c r="N18" s="73"/>
      <c r="R18" s="49">
        <v>38685.200000000004</v>
      </c>
      <c r="S18" s="42">
        <v>75398</v>
      </c>
      <c r="T18">
        <v>20314</v>
      </c>
      <c r="U18">
        <v>956</v>
      </c>
      <c r="V18">
        <v>0</v>
      </c>
      <c r="W18">
        <v>2002</v>
      </c>
      <c r="X18" s="27">
        <v>0.26387377170214865</v>
      </c>
      <c r="Z18" s="73"/>
      <c r="AD18" s="49">
        <v>20110</v>
      </c>
      <c r="AE18">
        <v>37977</v>
      </c>
      <c r="AF18">
        <v>12298</v>
      </c>
      <c r="AG18">
        <v>12909</v>
      </c>
      <c r="AH18">
        <v>0</v>
      </c>
      <c r="AI18">
        <v>0</v>
      </c>
      <c r="AJ18" s="27">
        <v>0.17927747032992145</v>
      </c>
      <c r="AL18" s="73"/>
      <c r="AP18" s="49">
        <v>26738.400000000001</v>
      </c>
      <c r="AQ18">
        <v>44267</v>
      </c>
      <c r="AR18">
        <v>22579</v>
      </c>
      <c r="AS18">
        <v>13201</v>
      </c>
      <c r="AT18">
        <v>0</v>
      </c>
      <c r="AU18">
        <v>0</v>
      </c>
      <c r="AV18" s="27">
        <v>7.4808653167430211E-2</v>
      </c>
      <c r="AX18" s="73"/>
      <c r="BB18" s="49">
        <v>26586</v>
      </c>
      <c r="BC18">
        <v>51740</v>
      </c>
      <c r="BD18">
        <v>14725</v>
      </c>
      <c r="BE18">
        <v>0</v>
      </c>
      <c r="BF18">
        <v>0</v>
      </c>
      <c r="BG18">
        <v>0</v>
      </c>
      <c r="BH18" s="27">
        <v>5.8422700420745391E-2</v>
      </c>
      <c r="BJ18" s="73"/>
      <c r="BN18" s="49">
        <v>38189.200000000004</v>
      </c>
      <c r="BO18">
        <v>80641</v>
      </c>
      <c r="BP18">
        <v>14832</v>
      </c>
      <c r="BQ18">
        <v>12070</v>
      </c>
      <c r="BR18">
        <v>0</v>
      </c>
      <c r="BS18">
        <v>0</v>
      </c>
      <c r="BT18" s="27">
        <v>6.5401256925817747E-2</v>
      </c>
      <c r="BV18" s="73"/>
      <c r="BZ18" s="49">
        <v>20712.800000000003</v>
      </c>
      <c r="CA18">
        <v>37028</v>
      </c>
      <c r="CB18">
        <v>14754</v>
      </c>
      <c r="CC18">
        <v>8992</v>
      </c>
      <c r="CD18">
        <v>0</v>
      </c>
      <c r="CE18">
        <v>0</v>
      </c>
      <c r="CF18" s="27">
        <v>2.9936305732483941E-2</v>
      </c>
      <c r="CH18" s="73"/>
      <c r="CL18" s="49">
        <v>15551.2</v>
      </c>
      <c r="CM18" s="29">
        <v>22757</v>
      </c>
      <c r="CN18" s="29">
        <v>16121</v>
      </c>
      <c r="CO18">
        <v>10236</v>
      </c>
      <c r="CP18">
        <v>0</v>
      </c>
      <c r="CQ18">
        <v>0</v>
      </c>
      <c r="CR18" s="27">
        <v>0.16126248570750545</v>
      </c>
      <c r="CT18" s="73"/>
      <c r="CW18" s="27">
        <v>0.11421023869379089</v>
      </c>
      <c r="CX18" s="74">
        <v>0</v>
      </c>
    </row>
    <row r="19" spans="1:207" hidden="1" x14ac:dyDescent="0.3">
      <c r="A19" s="14" t="s">
        <v>7</v>
      </c>
      <c r="B19" s="23"/>
      <c r="C19" s="23"/>
      <c r="D19" s="24">
        <v>12426.400000000001</v>
      </c>
      <c r="E19" s="5">
        <v>20547</v>
      </c>
      <c r="F19">
        <v>10519</v>
      </c>
      <c r="G19">
        <v>0</v>
      </c>
      <c r="H19">
        <v>0</v>
      </c>
      <c r="I19">
        <v>0</v>
      </c>
      <c r="J19" s="27">
        <v>0.10883719344005571</v>
      </c>
      <c r="K19" s="27">
        <v>0</v>
      </c>
      <c r="L19" s="27">
        <v>8.1851901109781092E-2</v>
      </c>
      <c r="N19" s="73"/>
      <c r="R19" s="49">
        <v>39029.799999999996</v>
      </c>
      <c r="S19" s="42">
        <v>77198</v>
      </c>
      <c r="T19">
        <v>20370</v>
      </c>
      <c r="U19">
        <v>0</v>
      </c>
      <c r="V19">
        <v>0</v>
      </c>
      <c r="W19">
        <v>13</v>
      </c>
      <c r="X19" s="27">
        <v>0.2573165069530603</v>
      </c>
      <c r="Z19" s="73"/>
      <c r="AD19" s="49">
        <v>20161.599999999999</v>
      </c>
      <c r="AE19">
        <v>38150</v>
      </c>
      <c r="AF19">
        <v>12254</v>
      </c>
      <c r="AG19">
        <v>11237</v>
      </c>
      <c r="AH19">
        <v>0</v>
      </c>
      <c r="AI19">
        <v>0</v>
      </c>
      <c r="AJ19" s="27">
        <v>0.17717158855314499</v>
      </c>
      <c r="AL19" s="73"/>
      <c r="AP19" s="49">
        <v>26738.400000000001</v>
      </c>
      <c r="AQ19">
        <v>44267</v>
      </c>
      <c r="AR19">
        <v>22579</v>
      </c>
      <c r="AS19">
        <v>13201</v>
      </c>
      <c r="AT19">
        <v>0</v>
      </c>
      <c r="AU19">
        <v>0</v>
      </c>
      <c r="AV19" s="27">
        <v>7.4808653167430211E-2</v>
      </c>
      <c r="AX19" s="73"/>
      <c r="BB19" s="49">
        <v>26586</v>
      </c>
      <c r="BC19">
        <v>51740</v>
      </c>
      <c r="BD19">
        <v>14725</v>
      </c>
      <c r="BE19">
        <v>0</v>
      </c>
      <c r="BF19">
        <v>0</v>
      </c>
      <c r="BG19">
        <v>0</v>
      </c>
      <c r="BH19" s="27">
        <v>5.8422700420745391E-2</v>
      </c>
      <c r="BJ19" s="73"/>
      <c r="BN19" s="49">
        <v>38212.800000000003</v>
      </c>
      <c r="BO19">
        <v>80694</v>
      </c>
      <c r="BP19">
        <v>14838</v>
      </c>
      <c r="BQ19">
        <v>12293</v>
      </c>
      <c r="BR19">
        <v>0</v>
      </c>
      <c r="BS19">
        <v>0</v>
      </c>
      <c r="BT19" s="27">
        <v>6.4823697554672252E-2</v>
      </c>
      <c r="BV19" s="73"/>
      <c r="BZ19" s="49">
        <v>20574.400000000001</v>
      </c>
      <c r="CA19">
        <v>36699</v>
      </c>
      <c r="CB19">
        <v>14737</v>
      </c>
      <c r="CC19">
        <v>11319</v>
      </c>
      <c r="CD19">
        <v>0</v>
      </c>
      <c r="CE19">
        <v>0</v>
      </c>
      <c r="CF19" s="27">
        <v>3.6418134132633874E-2</v>
      </c>
      <c r="CH19" s="73"/>
      <c r="CL19" s="49">
        <v>16318.400000000001</v>
      </c>
      <c r="CM19" s="29">
        <v>24581</v>
      </c>
      <c r="CN19" s="29">
        <v>16215</v>
      </c>
      <c r="CO19">
        <v>8129</v>
      </c>
      <c r="CP19">
        <v>0</v>
      </c>
      <c r="CQ19">
        <v>0</v>
      </c>
      <c r="CR19" s="27">
        <v>0.11988436562897758</v>
      </c>
      <c r="CT19" s="73"/>
      <c r="CW19" s="27">
        <v>0.10883719344005571</v>
      </c>
      <c r="CX19" s="74">
        <v>0</v>
      </c>
    </row>
    <row r="20" spans="1:207" s="4" customFormat="1" x14ac:dyDescent="0.3">
      <c r="A20" s="15" t="s">
        <v>7</v>
      </c>
      <c r="B20" s="41" t="s">
        <v>43</v>
      </c>
      <c r="C20" s="41">
        <v>22829</v>
      </c>
      <c r="D20" s="25">
        <v>12508.560000000001</v>
      </c>
      <c r="E20" s="7">
        <v>20780</v>
      </c>
      <c r="F20" s="4">
        <v>10491.4</v>
      </c>
      <c r="G20" s="4">
        <v>0</v>
      </c>
      <c r="H20" s="4">
        <v>0</v>
      </c>
      <c r="I20" s="4">
        <v>0</v>
      </c>
      <c r="J20" s="27">
        <v>0.11402934004843843</v>
      </c>
      <c r="K20" s="27">
        <v>6.8154525930879638E-3</v>
      </c>
      <c r="L20" s="27">
        <v>7.5781353903444565E-2</v>
      </c>
      <c r="M20" s="27">
        <v>1.197876966261632E-2</v>
      </c>
      <c r="N20" s="73">
        <v>8.9754259932541935E-2</v>
      </c>
      <c r="O20" s="27" t="e">
        <v>#DIV/0!</v>
      </c>
      <c r="P20">
        <v>52552.4</v>
      </c>
      <c r="Q20" s="26">
        <v>81057</v>
      </c>
      <c r="R20" s="49">
        <v>38209.719999999994</v>
      </c>
      <c r="S20">
        <v>74912.2</v>
      </c>
      <c r="T20">
        <v>20154.400000000001</v>
      </c>
      <c r="U20">
        <v>299.2</v>
      </c>
      <c r="V20">
        <v>0</v>
      </c>
      <c r="W20">
        <v>915.4</v>
      </c>
      <c r="X20" s="27">
        <v>0.27292150310927771</v>
      </c>
      <c r="Y20" s="27">
        <v>1.1624605504535404E-2</v>
      </c>
      <c r="Z20" s="73">
        <v>7.5808381756048246E-2</v>
      </c>
      <c r="AA20" s="27" t="e">
        <v>#DIV/0!</v>
      </c>
      <c r="AB20">
        <v>24502.799999999999</v>
      </c>
      <c r="AC20">
        <v>48120</v>
      </c>
      <c r="AD20" s="49">
        <v>20090</v>
      </c>
      <c r="AE20">
        <v>37964.400000000001</v>
      </c>
      <c r="AF20">
        <v>12260.6</v>
      </c>
      <c r="AG20">
        <v>12398.8</v>
      </c>
      <c r="AH20">
        <v>0</v>
      </c>
      <c r="AI20">
        <v>0</v>
      </c>
      <c r="AJ20" s="27">
        <v>0.18009370357673407</v>
      </c>
      <c r="AK20" s="27">
        <v>5.1873533337845534E-3</v>
      </c>
      <c r="AL20" s="73">
        <v>0.21104738154613464</v>
      </c>
      <c r="AM20" s="27" t="e">
        <v>#DIV/0!</v>
      </c>
      <c r="AN20">
        <v>28900.400000000001</v>
      </c>
      <c r="AO20">
        <v>48676</v>
      </c>
      <c r="AP20" s="49">
        <v>26596.640000000003</v>
      </c>
      <c r="AQ20">
        <v>43926.2</v>
      </c>
      <c r="AR20">
        <v>22565.4</v>
      </c>
      <c r="AS20">
        <v>9132</v>
      </c>
      <c r="AT20">
        <v>0</v>
      </c>
      <c r="AU20">
        <v>0</v>
      </c>
      <c r="AV20" s="27">
        <v>7.9713775587881078E-2</v>
      </c>
      <c r="AW20" s="27">
        <v>5.8627531517792385E-3</v>
      </c>
      <c r="AX20" s="73">
        <v>9.7579916180458595E-2</v>
      </c>
      <c r="AY20" s="27" t="e">
        <v>#DIV/0!</v>
      </c>
      <c r="AZ20">
        <v>28235.599999999999</v>
      </c>
      <c r="BA20">
        <v>55474</v>
      </c>
      <c r="BB20" s="49">
        <v>26586</v>
      </c>
      <c r="BC20">
        <v>51740</v>
      </c>
      <c r="BD20">
        <v>14725</v>
      </c>
      <c r="BE20">
        <v>0</v>
      </c>
      <c r="BF20">
        <v>0</v>
      </c>
      <c r="BG20">
        <v>0</v>
      </c>
      <c r="BH20" s="27">
        <v>5.8422700420745391E-2</v>
      </c>
      <c r="BI20" s="27">
        <v>0</v>
      </c>
      <c r="BJ20" s="73">
        <v>6.7310812272415907E-2</v>
      </c>
      <c r="BK20" s="27" t="e">
        <v>#DIV/0!</v>
      </c>
      <c r="BL20">
        <v>40861.599999999999</v>
      </c>
      <c r="BM20">
        <v>86423</v>
      </c>
      <c r="BN20" s="49">
        <v>38211.040000000001</v>
      </c>
      <c r="BO20">
        <v>80698.600000000006</v>
      </c>
      <c r="BP20">
        <v>14829</v>
      </c>
      <c r="BQ20">
        <v>12119.8</v>
      </c>
      <c r="BR20">
        <v>0</v>
      </c>
      <c r="BS20">
        <v>0</v>
      </c>
      <c r="BT20" s="83">
        <v>6.4866769778961123E-2</v>
      </c>
      <c r="BU20" s="83">
        <v>9.0742758020366542E-4</v>
      </c>
      <c r="BV20" s="73">
        <v>6.6236997095680483E-2</v>
      </c>
      <c r="BW20" s="27" t="e">
        <v>#DIV/0!</v>
      </c>
      <c r="BX20">
        <v>21352</v>
      </c>
      <c r="BY20">
        <v>38534</v>
      </c>
      <c r="BZ20" s="49">
        <v>20603.599999999999</v>
      </c>
      <c r="CA20">
        <v>36768.6</v>
      </c>
      <c r="CB20">
        <v>14740.4</v>
      </c>
      <c r="CC20">
        <v>10847.8</v>
      </c>
      <c r="CD20">
        <v>0</v>
      </c>
      <c r="CE20">
        <v>0</v>
      </c>
      <c r="CF20" s="27">
        <v>3.5050580741850947E-2</v>
      </c>
      <c r="CG20" s="27">
        <v>3.687286165229045E-3</v>
      </c>
      <c r="CH20" s="73">
        <v>4.5814086261483401E-2</v>
      </c>
      <c r="CI20" s="27" t="e">
        <v>#DIV/0!</v>
      </c>
      <c r="CJ20">
        <v>18541.2</v>
      </c>
      <c r="CK20">
        <v>28067</v>
      </c>
      <c r="CL20" s="49">
        <v>15845.6</v>
      </c>
      <c r="CM20">
        <v>23457.4</v>
      </c>
      <c r="CN20">
        <v>16156.6</v>
      </c>
      <c r="CO20">
        <v>9570.2000000000007</v>
      </c>
      <c r="CP20">
        <v>0</v>
      </c>
      <c r="CQ20">
        <v>0</v>
      </c>
      <c r="CR20" s="27">
        <v>0.14538433326861261</v>
      </c>
      <c r="CS20" s="27">
        <v>1.5275425346555477E-2</v>
      </c>
      <c r="CT20" s="73">
        <v>0.16423557914989129</v>
      </c>
      <c r="CU20" s="27" t="e">
        <v>#DIV/0!</v>
      </c>
      <c r="CV20"/>
      <c r="CW20" s="27">
        <v>0.11402934004843843</v>
      </c>
      <c r="CX20" s="74">
        <v>6.8154525930879638E-3</v>
      </c>
      <c r="CY20"/>
      <c r="CZ20"/>
      <c r="DA20"/>
      <c r="DB20"/>
      <c r="DC20"/>
      <c r="DD20"/>
      <c r="DE20"/>
      <c r="DF20"/>
      <c r="DG20"/>
      <c r="DH20"/>
      <c r="DI20"/>
      <c r="GV20" s="4" t="e">
        <v>#DIV/0!</v>
      </c>
      <c r="GW20" s="4" t="e">
        <v>#DIV/0!</v>
      </c>
      <c r="GX20" s="4" t="e">
        <v>#DIV/0!</v>
      </c>
      <c r="GY20" s="4" t="e">
        <v>#DIV/0!</v>
      </c>
    </row>
    <row r="21" spans="1:207" hidden="1" x14ac:dyDescent="0.3">
      <c r="A21" s="14" t="s">
        <v>9</v>
      </c>
      <c r="B21" s="23"/>
      <c r="C21" s="23"/>
      <c r="D21" s="24">
        <v>12858</v>
      </c>
      <c r="E21" s="5">
        <v>21656</v>
      </c>
      <c r="F21">
        <v>10489</v>
      </c>
      <c r="G21">
        <v>0</v>
      </c>
      <c r="H21">
        <v>0</v>
      </c>
      <c r="I21">
        <v>0</v>
      </c>
      <c r="J21" s="27">
        <v>0.11152451518986001</v>
      </c>
      <c r="K21" s="27">
        <v>0</v>
      </c>
      <c r="L21" s="27">
        <v>4.9969337165571864E-2</v>
      </c>
      <c r="N21" s="73"/>
      <c r="R21" s="49">
        <v>38991.000000000007</v>
      </c>
      <c r="S21" s="42">
        <v>76667</v>
      </c>
      <c r="T21">
        <v>20442</v>
      </c>
      <c r="U21">
        <v>2445</v>
      </c>
      <c r="V21">
        <v>0</v>
      </c>
      <c r="W21">
        <v>737</v>
      </c>
      <c r="X21" s="27">
        <v>0.25806893559693556</v>
      </c>
      <c r="Z21" s="73"/>
      <c r="AD21" s="49">
        <v>19962.400000000001</v>
      </c>
      <c r="AE21">
        <v>37680</v>
      </c>
      <c r="AF21">
        <v>12226</v>
      </c>
      <c r="AG21">
        <v>12671</v>
      </c>
      <c r="AH21">
        <v>0</v>
      </c>
      <c r="AI21">
        <v>0</v>
      </c>
      <c r="AJ21" s="27">
        <v>0.18533451954390739</v>
      </c>
      <c r="AL21" s="73"/>
      <c r="AP21" s="49">
        <v>26636.800000000003</v>
      </c>
      <c r="AQ21">
        <v>43986</v>
      </c>
      <c r="AR21">
        <v>22606</v>
      </c>
      <c r="AS21">
        <v>0</v>
      </c>
      <c r="AT21">
        <v>0</v>
      </c>
      <c r="AU21">
        <v>0</v>
      </c>
      <c r="AV21" s="27">
        <v>7.8356065796120547E-2</v>
      </c>
      <c r="AX21" s="73"/>
      <c r="BB21" s="49">
        <v>26586</v>
      </c>
      <c r="BC21">
        <v>51740</v>
      </c>
      <c r="BD21">
        <v>14725</v>
      </c>
      <c r="BE21">
        <v>0</v>
      </c>
      <c r="BF21">
        <v>0</v>
      </c>
      <c r="BG21">
        <v>0</v>
      </c>
      <c r="BH21" s="27">
        <v>5.8456046407853589E-2</v>
      </c>
      <c r="BJ21" s="73"/>
      <c r="BN21" s="49">
        <v>38292</v>
      </c>
      <c r="BO21">
        <v>80917</v>
      </c>
      <c r="BP21">
        <v>14813</v>
      </c>
      <c r="BQ21">
        <v>12230</v>
      </c>
      <c r="BR21">
        <v>0</v>
      </c>
      <c r="BS21">
        <v>0</v>
      </c>
      <c r="BT21" s="27">
        <v>6.2908380768722461E-2</v>
      </c>
      <c r="BV21" s="73"/>
      <c r="BZ21" s="49">
        <v>20588.800000000003</v>
      </c>
      <c r="CA21">
        <v>36733</v>
      </c>
      <c r="CB21">
        <v>14739</v>
      </c>
      <c r="CC21">
        <v>11293</v>
      </c>
      <c r="CD21">
        <v>0</v>
      </c>
      <c r="CE21">
        <v>0</v>
      </c>
      <c r="CF21" s="27">
        <v>3.5788882124291529E-2</v>
      </c>
      <c r="CH21" s="73"/>
      <c r="CL21" s="49">
        <v>15514</v>
      </c>
      <c r="CM21" s="29">
        <v>22669</v>
      </c>
      <c r="CN21" s="29">
        <v>16116</v>
      </c>
      <c r="CO21">
        <v>9368</v>
      </c>
      <c r="CP21">
        <v>0</v>
      </c>
      <c r="CQ21">
        <v>0</v>
      </c>
      <c r="CR21" s="27">
        <v>0.16331395411547717</v>
      </c>
      <c r="CT21" s="73"/>
      <c r="CW21" s="27">
        <v>0.11152451518986001</v>
      </c>
      <c r="CX21" s="74">
        <v>0</v>
      </c>
    </row>
    <row r="22" spans="1:207" hidden="1" x14ac:dyDescent="0.3">
      <c r="A22" s="14" t="s">
        <v>9</v>
      </c>
      <c r="B22" s="23"/>
      <c r="C22" s="23"/>
      <c r="D22" s="24">
        <v>12670.400000000001</v>
      </c>
      <c r="E22" s="5">
        <v>21185</v>
      </c>
      <c r="F22">
        <v>10491</v>
      </c>
      <c r="G22">
        <v>0</v>
      </c>
      <c r="H22">
        <v>0</v>
      </c>
      <c r="I22">
        <v>0</v>
      </c>
      <c r="J22" s="27">
        <v>0.11281097469697104</v>
      </c>
      <c r="K22" s="27">
        <v>0</v>
      </c>
      <c r="L22" s="27">
        <v>6.3830416054025535E-2</v>
      </c>
      <c r="N22" s="73"/>
      <c r="R22" s="49">
        <v>37839.199999999997</v>
      </c>
      <c r="S22" s="42">
        <v>74045</v>
      </c>
      <c r="T22">
        <v>20055</v>
      </c>
      <c r="U22">
        <v>171</v>
      </c>
      <c r="V22">
        <v>0</v>
      </c>
      <c r="W22">
        <v>996</v>
      </c>
      <c r="X22" s="27">
        <v>0.27998569074503277</v>
      </c>
      <c r="Z22" s="73"/>
      <c r="AD22" s="49">
        <v>20161.599999999999</v>
      </c>
      <c r="AE22">
        <v>38150</v>
      </c>
      <c r="AF22">
        <v>12254</v>
      </c>
      <c r="AG22">
        <v>11141</v>
      </c>
      <c r="AH22">
        <v>0</v>
      </c>
      <c r="AI22">
        <v>0</v>
      </c>
      <c r="AJ22" s="27">
        <v>0.17720516817799692</v>
      </c>
      <c r="AL22" s="73"/>
      <c r="AP22" s="49">
        <v>26370.400000000001</v>
      </c>
      <c r="AQ22">
        <v>43402</v>
      </c>
      <c r="AR22">
        <v>22524</v>
      </c>
      <c r="AS22">
        <v>20267</v>
      </c>
      <c r="AT22">
        <v>0</v>
      </c>
      <c r="AU22">
        <v>0</v>
      </c>
      <c r="AV22" s="27">
        <v>8.7573612350958771E-2</v>
      </c>
      <c r="AX22" s="73"/>
      <c r="BB22" s="49">
        <v>26586</v>
      </c>
      <c r="BC22">
        <v>51740</v>
      </c>
      <c r="BD22">
        <v>14725</v>
      </c>
      <c r="BE22">
        <v>0</v>
      </c>
      <c r="BF22">
        <v>0</v>
      </c>
      <c r="BG22">
        <v>0</v>
      </c>
      <c r="BH22" s="27">
        <v>5.8456046407853589E-2</v>
      </c>
      <c r="BJ22" s="73"/>
      <c r="BN22" s="49">
        <v>38189.200000000004</v>
      </c>
      <c r="BO22">
        <v>80641</v>
      </c>
      <c r="BP22">
        <v>14832</v>
      </c>
      <c r="BQ22">
        <v>12126</v>
      </c>
      <c r="BR22">
        <v>0</v>
      </c>
      <c r="BS22">
        <v>0</v>
      </c>
      <c r="BT22" s="27">
        <v>6.5424128665331968E-2</v>
      </c>
      <c r="BV22" s="73"/>
      <c r="BZ22" s="49">
        <v>20687.599999999999</v>
      </c>
      <c r="CA22">
        <v>36969</v>
      </c>
      <c r="CB22">
        <v>14750</v>
      </c>
      <c r="CC22">
        <v>11314</v>
      </c>
      <c r="CD22">
        <v>0</v>
      </c>
      <c r="CE22">
        <v>0</v>
      </c>
      <c r="CF22" s="27">
        <v>3.1161897625626444E-2</v>
      </c>
      <c r="CH22" s="73"/>
      <c r="CL22" s="49">
        <v>15967.600000000002</v>
      </c>
      <c r="CM22" s="29">
        <v>23747</v>
      </c>
      <c r="CN22" s="29">
        <v>16172</v>
      </c>
      <c r="CO22">
        <v>9322</v>
      </c>
      <c r="CP22">
        <v>0</v>
      </c>
      <c r="CQ22">
        <v>0</v>
      </c>
      <c r="CR22" s="27">
        <v>0.13885083754894234</v>
      </c>
      <c r="CT22" s="73"/>
      <c r="CW22" s="27">
        <v>0.11281097469697104</v>
      </c>
      <c r="CX22" s="74">
        <v>0</v>
      </c>
    </row>
    <row r="23" spans="1:207" hidden="1" x14ac:dyDescent="0.3">
      <c r="A23" s="14" t="s">
        <v>9</v>
      </c>
      <c r="B23" s="23"/>
      <c r="C23" s="23"/>
      <c r="D23" s="24">
        <v>12426.400000000001</v>
      </c>
      <c r="E23" s="5">
        <v>20547</v>
      </c>
      <c r="F23">
        <v>10519</v>
      </c>
      <c r="G23">
        <v>0</v>
      </c>
      <c r="H23">
        <v>0</v>
      </c>
      <c r="I23">
        <v>0</v>
      </c>
      <c r="J23" s="27">
        <v>0.11522340493539324</v>
      </c>
      <c r="K23" s="27">
        <v>0</v>
      </c>
      <c r="L23" s="27">
        <v>8.1858684970777792E-2</v>
      </c>
      <c r="N23" s="73"/>
      <c r="R23" s="49">
        <v>38389.800000000003</v>
      </c>
      <c r="S23" s="42">
        <v>75506</v>
      </c>
      <c r="T23">
        <v>20227</v>
      </c>
      <c r="U23">
        <v>226</v>
      </c>
      <c r="V23">
        <v>0</v>
      </c>
      <c r="W23">
        <v>483</v>
      </c>
      <c r="X23" s="27">
        <v>0.26950872826496475</v>
      </c>
      <c r="Z23" s="73"/>
      <c r="AD23" s="49">
        <v>19962.400000000001</v>
      </c>
      <c r="AE23">
        <v>37680</v>
      </c>
      <c r="AF23">
        <v>12226</v>
      </c>
      <c r="AG23">
        <v>11669</v>
      </c>
      <c r="AH23">
        <v>0</v>
      </c>
      <c r="AI23">
        <v>0</v>
      </c>
      <c r="AJ23" s="27">
        <v>0.18533451954390739</v>
      </c>
      <c r="AL23" s="73"/>
      <c r="AP23" s="49">
        <v>26702</v>
      </c>
      <c r="AQ23">
        <v>44104</v>
      </c>
      <c r="AR23">
        <v>22651</v>
      </c>
      <c r="AS23">
        <v>16002</v>
      </c>
      <c r="AT23">
        <v>0</v>
      </c>
      <c r="AU23">
        <v>0</v>
      </c>
      <c r="AV23" s="27">
        <v>7.6100119717383979E-2</v>
      </c>
      <c r="AX23" s="73"/>
      <c r="BB23" s="49">
        <v>26586</v>
      </c>
      <c r="BC23">
        <v>51740</v>
      </c>
      <c r="BD23">
        <v>14725</v>
      </c>
      <c r="BE23">
        <v>0</v>
      </c>
      <c r="BF23">
        <v>0</v>
      </c>
      <c r="BG23">
        <v>0</v>
      </c>
      <c r="BH23" s="27">
        <v>5.8456046407853589E-2</v>
      </c>
      <c r="BJ23" s="73"/>
      <c r="BN23" s="49">
        <v>38202.800000000003</v>
      </c>
      <c r="BO23">
        <v>80669</v>
      </c>
      <c r="BP23">
        <v>14838</v>
      </c>
      <c r="BQ23">
        <v>12132</v>
      </c>
      <c r="BR23">
        <v>0</v>
      </c>
      <c r="BS23">
        <v>0</v>
      </c>
      <c r="BT23" s="27">
        <v>6.5091305986403114E-2</v>
      </c>
      <c r="BV23" s="73"/>
      <c r="BZ23" s="49">
        <v>20584.400000000001</v>
      </c>
      <c r="CA23">
        <v>36723</v>
      </c>
      <c r="CB23">
        <v>14738</v>
      </c>
      <c r="CC23">
        <v>11318</v>
      </c>
      <c r="CD23">
        <v>0</v>
      </c>
      <c r="CE23">
        <v>0</v>
      </c>
      <c r="CF23" s="27">
        <v>3.5994942162693701E-2</v>
      </c>
      <c r="CH23" s="73"/>
      <c r="CL23" s="49">
        <v>15771.2</v>
      </c>
      <c r="CM23" s="29">
        <v>23281</v>
      </c>
      <c r="CN23" s="29">
        <v>16147</v>
      </c>
      <c r="CO23">
        <v>9764</v>
      </c>
      <c r="CP23">
        <v>0</v>
      </c>
      <c r="CQ23">
        <v>0</v>
      </c>
      <c r="CR23" s="27">
        <v>0.14944289242916159</v>
      </c>
      <c r="CT23" s="73"/>
      <c r="CW23" s="27">
        <v>0.11522340493539324</v>
      </c>
      <c r="CX23" s="74">
        <v>0</v>
      </c>
    </row>
    <row r="24" spans="1:207" hidden="1" x14ac:dyDescent="0.3">
      <c r="A24" s="14" t="s">
        <v>9</v>
      </c>
      <c r="B24" s="23"/>
      <c r="C24" s="23"/>
      <c r="D24" s="24">
        <v>12426.400000000001</v>
      </c>
      <c r="E24" s="5">
        <v>20547</v>
      </c>
      <c r="F24">
        <v>10519</v>
      </c>
      <c r="G24">
        <v>0</v>
      </c>
      <c r="H24">
        <v>0</v>
      </c>
      <c r="I24">
        <v>0</v>
      </c>
      <c r="J24" s="27">
        <v>0.11299188159366105</v>
      </c>
      <c r="K24" s="27">
        <v>0</v>
      </c>
      <c r="L24" s="27">
        <v>8.1858684970777792E-2</v>
      </c>
      <c r="N24" s="73"/>
      <c r="R24" s="49">
        <v>39140.200000000004</v>
      </c>
      <c r="S24" s="42">
        <v>77272</v>
      </c>
      <c r="T24">
        <v>20306</v>
      </c>
      <c r="U24">
        <v>168</v>
      </c>
      <c r="V24">
        <v>0</v>
      </c>
      <c r="W24">
        <v>545</v>
      </c>
      <c r="X24" s="27">
        <v>0.25522991852097099</v>
      </c>
      <c r="Z24" s="73"/>
      <c r="AD24" s="49">
        <v>19962.400000000001</v>
      </c>
      <c r="AE24">
        <v>37680</v>
      </c>
      <c r="AF24">
        <v>12226</v>
      </c>
      <c r="AG24">
        <v>12671</v>
      </c>
      <c r="AH24">
        <v>0</v>
      </c>
      <c r="AI24">
        <v>0</v>
      </c>
      <c r="AJ24" s="27">
        <v>0.18533451954390739</v>
      </c>
      <c r="AL24" s="73"/>
      <c r="AP24" s="49">
        <v>26755.200000000001</v>
      </c>
      <c r="AQ24">
        <v>44298</v>
      </c>
      <c r="AR24">
        <v>22590</v>
      </c>
      <c r="AS24">
        <v>22275</v>
      </c>
      <c r="AT24">
        <v>0</v>
      </c>
      <c r="AU24">
        <v>0</v>
      </c>
      <c r="AV24" s="27">
        <v>7.4259378438414764E-2</v>
      </c>
      <c r="AX24" s="73"/>
      <c r="BB24" s="49">
        <v>26586</v>
      </c>
      <c r="BC24">
        <v>51740</v>
      </c>
      <c r="BD24">
        <v>14725</v>
      </c>
      <c r="BE24">
        <v>0</v>
      </c>
      <c r="BF24">
        <v>0</v>
      </c>
      <c r="BG24">
        <v>0</v>
      </c>
      <c r="BH24" s="27">
        <v>5.8456046407853589E-2</v>
      </c>
      <c r="BJ24" s="73"/>
      <c r="BN24" s="49">
        <v>38273.600000000006</v>
      </c>
      <c r="BO24">
        <v>80841</v>
      </c>
      <c r="BP24">
        <v>14843</v>
      </c>
      <c r="BQ24">
        <v>13070</v>
      </c>
      <c r="BR24">
        <v>0</v>
      </c>
      <c r="BS24">
        <v>0</v>
      </c>
      <c r="BT24" s="27">
        <v>6.3358670275508483E-2</v>
      </c>
      <c r="BV24" s="73"/>
      <c r="BZ24" s="49">
        <v>20584.400000000001</v>
      </c>
      <c r="CA24">
        <v>36723</v>
      </c>
      <c r="CB24">
        <v>14738</v>
      </c>
      <c r="CC24">
        <v>11299</v>
      </c>
      <c r="CD24">
        <v>0</v>
      </c>
      <c r="CE24">
        <v>0</v>
      </c>
      <c r="CF24" s="27">
        <v>3.5994942162693701E-2</v>
      </c>
      <c r="CH24" s="73"/>
      <c r="CL24" s="49">
        <v>15771.2</v>
      </c>
      <c r="CM24" s="29">
        <v>23281</v>
      </c>
      <c r="CN24" s="29">
        <v>16147</v>
      </c>
      <c r="CO24">
        <v>9764</v>
      </c>
      <c r="CP24">
        <v>0</v>
      </c>
      <c r="CQ24">
        <v>0</v>
      </c>
      <c r="CR24" s="27">
        <v>0.14944289242916159</v>
      </c>
      <c r="CT24" s="73"/>
      <c r="CW24" s="27">
        <v>0.11299188159366105</v>
      </c>
      <c r="CX24" s="74">
        <v>0</v>
      </c>
    </row>
    <row r="25" spans="1:207" hidden="1" x14ac:dyDescent="0.3">
      <c r="A25" s="14" t="s">
        <v>9</v>
      </c>
      <c r="B25" s="23"/>
      <c r="C25" s="23"/>
      <c r="D25" s="24">
        <v>12374.400000000001</v>
      </c>
      <c r="E25" s="5">
        <v>20587</v>
      </c>
      <c r="F25">
        <v>10349</v>
      </c>
      <c r="G25">
        <v>0</v>
      </c>
      <c r="H25">
        <v>0</v>
      </c>
      <c r="I25">
        <v>0</v>
      </c>
      <c r="J25" s="27">
        <v>0.11525523361743834</v>
      </c>
      <c r="K25" s="27">
        <v>0</v>
      </c>
      <c r="L25" s="27">
        <v>8.5700775067790572E-2</v>
      </c>
      <c r="N25" s="73"/>
      <c r="R25" s="49">
        <v>37869.599999999999</v>
      </c>
      <c r="S25" s="42">
        <v>74490</v>
      </c>
      <c r="T25">
        <v>19994</v>
      </c>
      <c r="U25">
        <v>580</v>
      </c>
      <c r="V25">
        <v>0</v>
      </c>
      <c r="W25">
        <v>380</v>
      </c>
      <c r="X25" s="27">
        <v>0.27940723150167263</v>
      </c>
      <c r="Z25" s="73"/>
      <c r="AD25" s="49">
        <v>20161.599999999999</v>
      </c>
      <c r="AE25">
        <v>38150</v>
      </c>
      <c r="AF25">
        <v>12254</v>
      </c>
      <c r="AG25">
        <v>13509</v>
      </c>
      <c r="AH25">
        <v>0</v>
      </c>
      <c r="AI25">
        <v>0</v>
      </c>
      <c r="AJ25" s="27">
        <v>0.17720516817799692</v>
      </c>
      <c r="AL25" s="73"/>
      <c r="AP25" s="49">
        <v>26755.200000000001</v>
      </c>
      <c r="AQ25">
        <v>44298</v>
      </c>
      <c r="AR25">
        <v>22590</v>
      </c>
      <c r="AS25">
        <v>22275</v>
      </c>
      <c r="AT25">
        <v>0</v>
      </c>
      <c r="AU25">
        <v>0</v>
      </c>
      <c r="AV25" s="27">
        <v>7.4259378438414764E-2</v>
      </c>
      <c r="AX25" s="73"/>
      <c r="BB25" s="49">
        <v>26586</v>
      </c>
      <c r="BC25">
        <v>51740</v>
      </c>
      <c r="BD25">
        <v>14725</v>
      </c>
      <c r="BE25">
        <v>0</v>
      </c>
      <c r="BF25">
        <v>0</v>
      </c>
      <c r="BG25">
        <v>0</v>
      </c>
      <c r="BH25" s="27">
        <v>5.8456046407853589E-2</v>
      </c>
      <c r="BJ25" s="73"/>
      <c r="BN25" s="49">
        <v>38274.800000000003</v>
      </c>
      <c r="BO25">
        <v>80876</v>
      </c>
      <c r="BP25">
        <v>14811</v>
      </c>
      <c r="BQ25">
        <v>12198</v>
      </c>
      <c r="BR25">
        <v>0</v>
      </c>
      <c r="BS25">
        <v>0</v>
      </c>
      <c r="BT25" s="27">
        <v>6.3329303568544243E-2</v>
      </c>
      <c r="BV25" s="73"/>
      <c r="BZ25" s="49">
        <v>20686.800000000003</v>
      </c>
      <c r="CA25">
        <v>36967</v>
      </c>
      <c r="CB25">
        <v>14750</v>
      </c>
      <c r="CC25">
        <v>11306</v>
      </c>
      <c r="CD25">
        <v>0</v>
      </c>
      <c r="CE25">
        <v>0</v>
      </c>
      <c r="CF25" s="27">
        <v>3.1199363087153893E-2</v>
      </c>
      <c r="CH25" s="73"/>
      <c r="CL25" s="49">
        <v>15714.8</v>
      </c>
      <c r="CM25" s="29">
        <v>23128</v>
      </c>
      <c r="CN25" s="29">
        <v>16142</v>
      </c>
      <c r="CO25">
        <v>10594</v>
      </c>
      <c r="CP25">
        <v>0</v>
      </c>
      <c r="CQ25">
        <v>34</v>
      </c>
      <c r="CR25" s="27">
        <v>0.15248460269007999</v>
      </c>
      <c r="CT25" s="73"/>
      <c r="CW25" s="27">
        <v>0.11525523361743834</v>
      </c>
      <c r="CX25" s="74">
        <v>0</v>
      </c>
    </row>
    <row r="26" spans="1:207" s="4" customFormat="1" x14ac:dyDescent="0.3">
      <c r="A26" s="15" t="s">
        <v>9</v>
      </c>
      <c r="B26" s="41" t="s">
        <v>44</v>
      </c>
      <c r="C26" s="41">
        <v>22829</v>
      </c>
      <c r="D26" s="25">
        <v>12551.12</v>
      </c>
      <c r="E26" s="7">
        <v>20904.400000000001</v>
      </c>
      <c r="F26" s="4">
        <v>10473.4</v>
      </c>
      <c r="G26" s="4">
        <v>0</v>
      </c>
      <c r="H26" s="4">
        <v>0</v>
      </c>
      <c r="I26" s="4">
        <v>0</v>
      </c>
      <c r="J26" s="27">
        <v>0.11356120200666475</v>
      </c>
      <c r="K26" s="27">
        <v>6.1684416471735597E-3</v>
      </c>
      <c r="L26" s="27">
        <v>7.2643579645788742E-2</v>
      </c>
      <c r="M26" s="27">
        <v>1.5265318610632364E-2</v>
      </c>
      <c r="N26" s="73">
        <v>8.4305050593543235E-2</v>
      </c>
      <c r="O26" s="27" t="e">
        <v>#DIV/0!</v>
      </c>
      <c r="P26">
        <v>52553.4</v>
      </c>
      <c r="Q26" s="26">
        <v>81057</v>
      </c>
      <c r="R26" s="49">
        <v>38445.960000000006</v>
      </c>
      <c r="S26">
        <v>75596</v>
      </c>
      <c r="T26">
        <v>20204.8</v>
      </c>
      <c r="U26">
        <v>718</v>
      </c>
      <c r="V26">
        <v>0</v>
      </c>
      <c r="W26">
        <v>628.20000000000005</v>
      </c>
      <c r="X26" s="27">
        <v>0.26844010092591525</v>
      </c>
      <c r="Y26" s="27">
        <v>1.1584370409950164E-2</v>
      </c>
      <c r="Z26" s="73">
        <v>6.7372342919180331E-2</v>
      </c>
      <c r="AA26" s="27" t="e">
        <v>#DIV/0!</v>
      </c>
      <c r="AB26">
        <v>24503.8</v>
      </c>
      <c r="AC26">
        <v>48120</v>
      </c>
      <c r="AD26" s="49">
        <v>20042.079999999998</v>
      </c>
      <c r="AE26">
        <v>37868</v>
      </c>
      <c r="AF26">
        <v>12237.2</v>
      </c>
      <c r="AG26">
        <v>12332.2</v>
      </c>
      <c r="AH26">
        <v>0</v>
      </c>
      <c r="AI26">
        <v>0</v>
      </c>
      <c r="AJ26" s="83">
        <v>0.1820827789975433</v>
      </c>
      <c r="AK26" s="27">
        <v>4.4526291209946011E-3</v>
      </c>
      <c r="AL26" s="73">
        <v>0.21305070656691605</v>
      </c>
      <c r="AM26" s="27" t="e">
        <v>#DIV/0!</v>
      </c>
      <c r="AN26">
        <v>28901.4</v>
      </c>
      <c r="AO26">
        <v>48676</v>
      </c>
      <c r="AP26" s="49">
        <v>26643.920000000002</v>
      </c>
      <c r="AQ26">
        <v>44017.599999999999</v>
      </c>
      <c r="AR26">
        <v>22592.2</v>
      </c>
      <c r="AS26">
        <v>16163.8</v>
      </c>
      <c r="AT26">
        <v>0</v>
      </c>
      <c r="AU26">
        <v>0</v>
      </c>
      <c r="AV26" s="27">
        <v>7.810971094825854E-2</v>
      </c>
      <c r="AW26" s="27">
        <v>5.5523575681647201E-3</v>
      </c>
      <c r="AX26" s="73">
        <v>9.5702194099761717E-2</v>
      </c>
      <c r="AY26" s="27" t="e">
        <v>#DIV/0!</v>
      </c>
      <c r="AZ26">
        <v>28236.6</v>
      </c>
      <c r="BA26">
        <v>55474</v>
      </c>
      <c r="BB26" s="49">
        <v>26586</v>
      </c>
      <c r="BC26">
        <v>51740</v>
      </c>
      <c r="BD26">
        <v>14725</v>
      </c>
      <c r="BE26">
        <v>0</v>
      </c>
      <c r="BF26">
        <v>0</v>
      </c>
      <c r="BG26">
        <v>0</v>
      </c>
      <c r="BH26" s="83">
        <v>5.8456046407853589E-2</v>
      </c>
      <c r="BI26" s="85">
        <v>0</v>
      </c>
      <c r="BJ26" s="73">
        <v>6.7310812272415907E-2</v>
      </c>
      <c r="BK26" s="27" t="e">
        <v>#DIV/0!</v>
      </c>
      <c r="BL26">
        <v>40862.6</v>
      </c>
      <c r="BM26">
        <v>86423</v>
      </c>
      <c r="BN26" s="49">
        <v>38246.480000000003</v>
      </c>
      <c r="BO26">
        <v>80788.800000000003</v>
      </c>
      <c r="BP26">
        <v>14827.4</v>
      </c>
      <c r="BQ26">
        <v>12351.2</v>
      </c>
      <c r="BR26">
        <v>0</v>
      </c>
      <c r="BS26">
        <v>0</v>
      </c>
      <c r="BT26" s="27">
        <v>6.4022357852902056E-2</v>
      </c>
      <c r="BU26" s="27">
        <v>1.147754536935746E-3</v>
      </c>
      <c r="BV26" s="73">
        <v>6.5193293451974554E-2</v>
      </c>
      <c r="BW26" s="27" t="e">
        <v>#DIV/0!</v>
      </c>
      <c r="BX26">
        <v>21353</v>
      </c>
      <c r="BY26">
        <v>38534</v>
      </c>
      <c r="BZ26" s="49">
        <v>20626.400000000001</v>
      </c>
      <c r="CA26">
        <v>36823</v>
      </c>
      <c r="CB26">
        <v>14743</v>
      </c>
      <c r="CC26">
        <v>11306</v>
      </c>
      <c r="CD26">
        <v>0</v>
      </c>
      <c r="CE26">
        <v>0</v>
      </c>
      <c r="CF26" s="27">
        <v>3.4028005432491855E-2</v>
      </c>
      <c r="CG26" s="27">
        <v>2.6006806033888287E-3</v>
      </c>
      <c r="CH26" s="73">
        <v>4.4402345980173355E-2</v>
      </c>
      <c r="CI26" s="27" t="e">
        <v>#DIV/0!</v>
      </c>
      <c r="CJ26">
        <v>18542.2</v>
      </c>
      <c r="CK26">
        <v>28067</v>
      </c>
      <c r="CL26" s="49">
        <v>15747.76</v>
      </c>
      <c r="CM26">
        <v>23221.200000000001</v>
      </c>
      <c r="CN26">
        <v>16144.8</v>
      </c>
      <c r="CO26">
        <v>9762.4</v>
      </c>
      <c r="CP26">
        <v>0</v>
      </c>
      <c r="CQ26">
        <v>1.6</v>
      </c>
      <c r="CR26" s="27">
        <v>0.15070703584256456</v>
      </c>
      <c r="CS26" s="27">
        <v>8.7444223273220618E-3</v>
      </c>
      <c r="CT26" s="73">
        <v>0.1726511561620408</v>
      </c>
      <c r="CU26" s="27" t="e">
        <v>#DIV/0!</v>
      </c>
      <c r="CV26"/>
      <c r="CW26" s="27">
        <v>0.11356120200666475</v>
      </c>
      <c r="CX26" s="74">
        <v>6.1684416471735597E-3</v>
      </c>
      <c r="CY26"/>
      <c r="CZ26"/>
      <c r="DA26"/>
      <c r="DB26"/>
      <c r="DC26"/>
      <c r="DD26"/>
      <c r="DE26"/>
      <c r="DF26"/>
      <c r="DG26"/>
      <c r="DH26"/>
      <c r="DI26"/>
      <c r="GV26" s="4" t="e">
        <v>#DIV/0!</v>
      </c>
      <c r="GW26" s="4" t="e">
        <v>#DIV/0!</v>
      </c>
      <c r="GX26" s="4" t="e">
        <v>#DIV/0!</v>
      </c>
      <c r="GY26" s="4" t="e">
        <v>#DIV/0!</v>
      </c>
    </row>
    <row r="27" spans="1:207" hidden="1" x14ac:dyDescent="0.3">
      <c r="A27" s="14" t="s">
        <v>10</v>
      </c>
      <c r="B27" s="23"/>
      <c r="C27" s="23"/>
      <c r="D27" s="24">
        <v>12798</v>
      </c>
      <c r="E27" s="5">
        <v>21632</v>
      </c>
      <c r="F27">
        <v>10363</v>
      </c>
      <c r="G27">
        <v>0</v>
      </c>
      <c r="H27">
        <v>0</v>
      </c>
      <c r="I27">
        <v>0</v>
      </c>
      <c r="J27" s="27">
        <v>0.11228702252551818</v>
      </c>
      <c r="K27" s="27">
        <v>0</v>
      </c>
      <c r="L27" s="27">
        <v>5.4409504669582665E-2</v>
      </c>
      <c r="N27" s="73"/>
      <c r="R27" s="49">
        <v>38102.400000000001</v>
      </c>
      <c r="S27" s="42">
        <v>74853</v>
      </c>
      <c r="T27">
        <v>20172</v>
      </c>
      <c r="U27">
        <v>673</v>
      </c>
      <c r="V27">
        <v>0</v>
      </c>
      <c r="W27">
        <v>462</v>
      </c>
      <c r="X27" s="27">
        <v>0.27499124716484252</v>
      </c>
      <c r="Z27" s="73"/>
      <c r="AD27" s="49">
        <v>20041.2</v>
      </c>
      <c r="AE27">
        <v>37839</v>
      </c>
      <c r="AF27">
        <v>12264</v>
      </c>
      <c r="AG27">
        <v>12633</v>
      </c>
      <c r="AH27">
        <v>0</v>
      </c>
      <c r="AI27">
        <v>0</v>
      </c>
      <c r="AJ27" s="27">
        <v>0.18215206816623677</v>
      </c>
      <c r="AL27" s="73"/>
      <c r="AP27" s="49">
        <v>26659.200000000001</v>
      </c>
      <c r="AQ27">
        <v>44018</v>
      </c>
      <c r="AR27">
        <v>22630</v>
      </c>
      <c r="AS27">
        <v>16023</v>
      </c>
      <c r="AT27">
        <v>0</v>
      </c>
      <c r="AU27">
        <v>0</v>
      </c>
      <c r="AV27" s="27">
        <v>7.7612931798051399E-2</v>
      </c>
      <c r="AX27" s="73"/>
      <c r="BB27" s="49">
        <v>26586</v>
      </c>
      <c r="BC27">
        <v>51740</v>
      </c>
      <c r="BD27">
        <v>14725</v>
      </c>
      <c r="BE27">
        <v>0</v>
      </c>
      <c r="BF27">
        <v>0</v>
      </c>
      <c r="BG27">
        <v>0</v>
      </c>
      <c r="BH27" s="27">
        <v>5.8489390033147244E-2</v>
      </c>
      <c r="BJ27" s="73"/>
      <c r="BN27" s="49">
        <v>38202</v>
      </c>
      <c r="BO27">
        <v>80673</v>
      </c>
      <c r="BP27">
        <v>14832</v>
      </c>
      <c r="BQ27">
        <v>12211</v>
      </c>
      <c r="BR27">
        <v>0</v>
      </c>
      <c r="BS27">
        <v>0</v>
      </c>
      <c r="BT27" s="27">
        <v>6.5133762076762663E-2</v>
      </c>
      <c r="BV27" s="73"/>
      <c r="BZ27" s="49">
        <v>20584.400000000001</v>
      </c>
      <c r="CA27">
        <v>36723</v>
      </c>
      <c r="CB27">
        <v>14738</v>
      </c>
      <c r="CC27">
        <v>11299</v>
      </c>
      <c r="CD27">
        <v>0</v>
      </c>
      <c r="CE27">
        <v>0</v>
      </c>
      <c r="CF27" s="27">
        <v>3.6040086166526111E-2</v>
      </c>
      <c r="CH27" s="73"/>
      <c r="CL27" s="49">
        <v>15771.6</v>
      </c>
      <c r="CM27" s="29">
        <v>23281</v>
      </c>
      <c r="CN27" s="30">
        <v>16148</v>
      </c>
      <c r="CO27">
        <v>9963</v>
      </c>
      <c r="CP27">
        <v>0</v>
      </c>
      <c r="CQ27">
        <v>0</v>
      </c>
      <c r="CR27" s="27">
        <v>0.14946719012899609</v>
      </c>
      <c r="CT27" s="73"/>
      <c r="CW27" s="27">
        <v>0.11228702252551818</v>
      </c>
      <c r="CX27" s="74">
        <v>0</v>
      </c>
    </row>
    <row r="28" spans="1:207" hidden="1" x14ac:dyDescent="0.3">
      <c r="A28" s="14" t="s">
        <v>10</v>
      </c>
      <c r="B28" s="23"/>
      <c r="C28" s="23"/>
      <c r="D28" s="24">
        <v>12426.400000000001</v>
      </c>
      <c r="E28" s="5">
        <v>20547</v>
      </c>
      <c r="F28">
        <v>10519</v>
      </c>
      <c r="G28">
        <v>0</v>
      </c>
      <c r="H28">
        <v>0</v>
      </c>
      <c r="I28">
        <v>0</v>
      </c>
      <c r="J28" s="27">
        <v>0.11282816182932126</v>
      </c>
      <c r="K28" s="27">
        <v>0</v>
      </c>
      <c r="L28" s="27">
        <v>8.1865468731528418E-2</v>
      </c>
      <c r="N28" s="73"/>
      <c r="R28" s="49">
        <v>39043.200000000004</v>
      </c>
      <c r="S28" s="42">
        <v>76880</v>
      </c>
      <c r="T28">
        <v>20462</v>
      </c>
      <c r="U28">
        <v>2246</v>
      </c>
      <c r="V28">
        <v>0</v>
      </c>
      <c r="W28">
        <v>532</v>
      </c>
      <c r="X28" s="27">
        <v>0.25708979647755464</v>
      </c>
      <c r="Z28" s="73"/>
      <c r="AD28" s="49">
        <v>20046</v>
      </c>
      <c r="AE28">
        <v>37848</v>
      </c>
      <c r="AF28">
        <v>12267</v>
      </c>
      <c r="AG28">
        <v>11395</v>
      </c>
      <c r="AH28">
        <v>0</v>
      </c>
      <c r="AI28">
        <v>0</v>
      </c>
      <c r="AJ28" s="27">
        <v>0.18195618817537787</v>
      </c>
      <c r="AL28" s="73"/>
      <c r="AP28" s="49">
        <v>26763.599999999999</v>
      </c>
      <c r="AQ28">
        <v>44257</v>
      </c>
      <c r="AR28">
        <v>22652</v>
      </c>
      <c r="AS28">
        <v>15102</v>
      </c>
      <c r="AT28">
        <v>0</v>
      </c>
      <c r="AU28">
        <v>0</v>
      </c>
      <c r="AV28" s="27">
        <v>7.4000775022143583E-2</v>
      </c>
      <c r="AX28" s="73"/>
      <c r="BB28" s="49">
        <v>26586</v>
      </c>
      <c r="BC28">
        <v>51740</v>
      </c>
      <c r="BD28">
        <v>14725</v>
      </c>
      <c r="BE28">
        <v>0</v>
      </c>
      <c r="BF28">
        <v>0</v>
      </c>
      <c r="BG28">
        <v>0</v>
      </c>
      <c r="BH28" s="27">
        <v>5.8489390033147244E-2</v>
      </c>
      <c r="BJ28" s="73"/>
      <c r="BN28" s="49">
        <v>38260.800000000003</v>
      </c>
      <c r="BO28">
        <v>80809</v>
      </c>
      <c r="BP28">
        <v>14843</v>
      </c>
      <c r="BQ28">
        <v>12963</v>
      </c>
      <c r="BR28">
        <v>0</v>
      </c>
      <c r="BS28">
        <v>0</v>
      </c>
      <c r="BT28" s="27">
        <v>6.3694828649458093E-2</v>
      </c>
      <c r="BV28" s="73"/>
      <c r="BZ28" s="49">
        <v>20584.400000000001</v>
      </c>
      <c r="CA28">
        <v>36723</v>
      </c>
      <c r="CB28">
        <v>14738</v>
      </c>
      <c r="CC28">
        <v>11299</v>
      </c>
      <c r="CD28">
        <v>0</v>
      </c>
      <c r="CE28">
        <v>0</v>
      </c>
      <c r="CF28" s="27">
        <v>3.6040086166526111E-2</v>
      </c>
      <c r="CH28" s="73"/>
      <c r="CL28" s="49">
        <v>15771.2</v>
      </c>
      <c r="CM28" s="29">
        <v>23281</v>
      </c>
      <c r="CN28" s="29">
        <v>16147</v>
      </c>
      <c r="CO28">
        <v>9764</v>
      </c>
      <c r="CP28">
        <v>0</v>
      </c>
      <c r="CQ28">
        <v>0</v>
      </c>
      <c r="CR28" s="27">
        <v>0.1494887613788343</v>
      </c>
      <c r="CT28" s="73"/>
      <c r="CW28" s="27">
        <v>0.11282816182932126</v>
      </c>
      <c r="CX28" s="74">
        <v>0</v>
      </c>
    </row>
    <row r="29" spans="1:207" hidden="1" x14ac:dyDescent="0.3">
      <c r="A29" s="14" t="s">
        <v>10</v>
      </c>
      <c r="B29" s="23"/>
      <c r="C29" s="23"/>
      <c r="D29" s="24">
        <v>12426.400000000001</v>
      </c>
      <c r="E29" s="5">
        <v>20547</v>
      </c>
      <c r="F29">
        <v>10519</v>
      </c>
      <c r="G29">
        <v>0</v>
      </c>
      <c r="H29">
        <v>0</v>
      </c>
      <c r="I29">
        <v>0</v>
      </c>
      <c r="J29" s="27">
        <v>0.11409346367180057</v>
      </c>
      <c r="K29" s="27">
        <v>0</v>
      </c>
      <c r="L29" s="27">
        <v>8.1865468731528418E-2</v>
      </c>
      <c r="N29" s="73"/>
      <c r="R29" s="49">
        <v>38186.200000000004</v>
      </c>
      <c r="S29" s="42">
        <v>74941</v>
      </c>
      <c r="T29">
        <v>20201</v>
      </c>
      <c r="U29">
        <v>653</v>
      </c>
      <c r="V29">
        <v>0</v>
      </c>
      <c r="W29">
        <v>647</v>
      </c>
      <c r="X29" s="27">
        <v>0.27339670893398071</v>
      </c>
      <c r="Z29" s="73"/>
      <c r="AD29" s="49">
        <v>20161.599999999999</v>
      </c>
      <c r="AE29">
        <v>38150</v>
      </c>
      <c r="AF29">
        <v>12254</v>
      </c>
      <c r="AG29">
        <v>11237</v>
      </c>
      <c r="AH29">
        <v>0</v>
      </c>
      <c r="AI29">
        <v>0</v>
      </c>
      <c r="AJ29" s="27">
        <v>0.17723874506219192</v>
      </c>
      <c r="AL29" s="73"/>
      <c r="AP29" s="49">
        <v>26652</v>
      </c>
      <c r="AQ29">
        <v>44018</v>
      </c>
      <c r="AR29">
        <v>22612</v>
      </c>
      <c r="AS29">
        <v>16083</v>
      </c>
      <c r="AT29">
        <v>0</v>
      </c>
      <c r="AU29">
        <v>0</v>
      </c>
      <c r="AV29" s="27">
        <v>7.7862046058458853E-2</v>
      </c>
      <c r="AX29" s="73"/>
      <c r="BB29" s="49">
        <v>26770.000000000004</v>
      </c>
      <c r="BC29">
        <v>52249</v>
      </c>
      <c r="BD29">
        <v>14676</v>
      </c>
      <c r="BE29">
        <v>0</v>
      </c>
      <c r="BF29">
        <v>0</v>
      </c>
      <c r="BG29">
        <v>0</v>
      </c>
      <c r="BH29" s="27">
        <v>5.1973255517465893E-2</v>
      </c>
      <c r="BJ29" s="73"/>
      <c r="BN29" s="49">
        <v>38188.800000000003</v>
      </c>
      <c r="BO29">
        <v>80640</v>
      </c>
      <c r="BP29">
        <v>14832</v>
      </c>
      <c r="BQ29">
        <v>12210</v>
      </c>
      <c r="BR29">
        <v>0</v>
      </c>
      <c r="BS29">
        <v>0</v>
      </c>
      <c r="BT29" s="27">
        <v>6.5456787948198286E-2</v>
      </c>
      <c r="BV29" s="73"/>
      <c r="BZ29" s="49">
        <v>20494.400000000001</v>
      </c>
      <c r="CA29">
        <v>36508</v>
      </c>
      <c r="CB29">
        <v>14728</v>
      </c>
      <c r="CC29">
        <v>11304</v>
      </c>
      <c r="CD29">
        <v>0</v>
      </c>
      <c r="CE29">
        <v>0</v>
      </c>
      <c r="CF29" s="27">
        <v>4.0254753207829848E-2</v>
      </c>
      <c r="CH29" s="73"/>
      <c r="CL29" s="49">
        <v>15860</v>
      </c>
      <c r="CM29" s="30">
        <v>23491</v>
      </c>
      <c r="CN29" s="30">
        <v>16159</v>
      </c>
      <c r="CO29">
        <v>10551</v>
      </c>
      <c r="CP29">
        <v>0</v>
      </c>
      <c r="CQ29">
        <v>0</v>
      </c>
      <c r="CR29" s="27">
        <v>0.14469994391475047</v>
      </c>
      <c r="CT29" s="73"/>
      <c r="CW29" s="27">
        <v>0.11409346367180057</v>
      </c>
      <c r="CX29" s="74">
        <v>0</v>
      </c>
    </row>
    <row r="30" spans="1:207" hidden="1" x14ac:dyDescent="0.3">
      <c r="A30" s="14" t="s">
        <v>10</v>
      </c>
      <c r="B30" s="23"/>
      <c r="C30" s="23"/>
      <c r="D30" s="24">
        <v>12434.4</v>
      </c>
      <c r="E30" s="5">
        <v>20611</v>
      </c>
      <c r="F30">
        <v>10475</v>
      </c>
      <c r="G30">
        <v>0</v>
      </c>
      <c r="H30">
        <v>0</v>
      </c>
      <c r="I30">
        <v>0</v>
      </c>
      <c r="J30" s="27">
        <v>0.11336395778205911</v>
      </c>
      <c r="K30" s="27">
        <v>0</v>
      </c>
      <c r="L30" s="27">
        <v>8.1274382314694416E-2</v>
      </c>
      <c r="N30" s="73"/>
      <c r="R30" s="49">
        <v>38533.400000000009</v>
      </c>
      <c r="S30" s="42">
        <v>75819</v>
      </c>
      <c r="T30">
        <v>20325</v>
      </c>
      <c r="U30">
        <v>1606</v>
      </c>
      <c r="V30">
        <v>0</v>
      </c>
      <c r="W30">
        <v>379</v>
      </c>
      <c r="X30" s="27">
        <v>0.26679022118033868</v>
      </c>
      <c r="Z30" s="73"/>
      <c r="AD30" s="49">
        <v>20197.600000000002</v>
      </c>
      <c r="AE30">
        <v>38222</v>
      </c>
      <c r="AF30">
        <v>12272</v>
      </c>
      <c r="AG30">
        <v>13381</v>
      </c>
      <c r="AH30">
        <v>0</v>
      </c>
      <c r="AI30">
        <v>0</v>
      </c>
      <c r="AJ30" s="27">
        <v>0.17576964513074977</v>
      </c>
      <c r="AL30" s="73"/>
      <c r="AP30" s="49">
        <v>26636.800000000003</v>
      </c>
      <c r="AQ30">
        <v>43986</v>
      </c>
      <c r="AR30">
        <v>22606</v>
      </c>
      <c r="AS30">
        <v>0</v>
      </c>
      <c r="AT30">
        <v>0</v>
      </c>
      <c r="AU30">
        <v>0</v>
      </c>
      <c r="AV30" s="27">
        <v>7.8387953941541133E-2</v>
      </c>
      <c r="AX30" s="73"/>
      <c r="BB30" s="49">
        <v>26586</v>
      </c>
      <c r="BC30">
        <v>51740</v>
      </c>
      <c r="BD30">
        <v>14725</v>
      </c>
      <c r="BE30">
        <v>0</v>
      </c>
      <c r="BF30">
        <v>0</v>
      </c>
      <c r="BG30">
        <v>0</v>
      </c>
      <c r="BH30" s="27">
        <v>5.8489390033147244E-2</v>
      </c>
      <c r="BJ30" s="73"/>
      <c r="BN30" s="49">
        <v>38188.400000000001</v>
      </c>
      <c r="BO30">
        <v>80640</v>
      </c>
      <c r="BP30">
        <v>14831</v>
      </c>
      <c r="BQ30">
        <v>12193</v>
      </c>
      <c r="BR30">
        <v>0</v>
      </c>
      <c r="BS30">
        <v>0</v>
      </c>
      <c r="BT30" s="27">
        <v>6.5466576610969107E-2</v>
      </c>
      <c r="BV30" s="73"/>
      <c r="BZ30" s="49">
        <v>20686.800000000003</v>
      </c>
      <c r="CA30">
        <v>36967</v>
      </c>
      <c r="CB30">
        <v>14750</v>
      </c>
      <c r="CC30">
        <v>8996</v>
      </c>
      <c r="CD30">
        <v>0</v>
      </c>
      <c r="CE30">
        <v>0</v>
      </c>
      <c r="CF30" s="27">
        <v>3.1244731666198233E-2</v>
      </c>
      <c r="CH30" s="73"/>
      <c r="CL30" s="49">
        <v>15771.2</v>
      </c>
      <c r="CM30" s="30">
        <v>23281</v>
      </c>
      <c r="CN30" s="29">
        <v>16147</v>
      </c>
      <c r="CO30">
        <v>10163</v>
      </c>
      <c r="CP30">
        <v>0</v>
      </c>
      <c r="CQ30">
        <v>0</v>
      </c>
      <c r="CR30" s="27">
        <v>0.1494887613788343</v>
      </c>
      <c r="CT30" s="73"/>
      <c r="CW30" s="27">
        <v>0.11336395778205911</v>
      </c>
      <c r="CX30" s="74">
        <v>0</v>
      </c>
    </row>
    <row r="31" spans="1:207" hidden="1" x14ac:dyDescent="0.3">
      <c r="A31" s="14" t="s">
        <v>10</v>
      </c>
      <c r="B31" s="23"/>
      <c r="C31" s="23"/>
      <c r="D31" s="24">
        <v>12814.4</v>
      </c>
      <c r="E31" s="5">
        <v>21666</v>
      </c>
      <c r="F31">
        <v>10370</v>
      </c>
      <c r="G31">
        <v>0</v>
      </c>
      <c r="H31">
        <v>0</v>
      </c>
      <c r="I31">
        <v>0</v>
      </c>
      <c r="J31" s="27">
        <v>0.11202877216613326</v>
      </c>
      <c r="K31" s="27">
        <v>0</v>
      </c>
      <c r="L31" s="27">
        <v>5.3197777515072708E-2</v>
      </c>
      <c r="N31" s="73"/>
      <c r="R31" s="49">
        <v>38768.600000000006</v>
      </c>
      <c r="S31" s="42">
        <v>76380</v>
      </c>
      <c r="T31">
        <v>20307</v>
      </c>
      <c r="U31">
        <v>244</v>
      </c>
      <c r="V31">
        <v>0</v>
      </c>
      <c r="W31">
        <v>469</v>
      </c>
      <c r="X31" s="27">
        <v>0.26231485850851682</v>
      </c>
      <c r="Z31" s="73"/>
      <c r="AD31" s="49">
        <v>19962.400000000001</v>
      </c>
      <c r="AE31">
        <v>37680</v>
      </c>
      <c r="AF31">
        <v>12226</v>
      </c>
      <c r="AG31">
        <v>11897</v>
      </c>
      <c r="AH31">
        <v>0</v>
      </c>
      <c r="AI31">
        <v>0</v>
      </c>
      <c r="AJ31" s="27">
        <v>0.18536776468283755</v>
      </c>
      <c r="AL31" s="73"/>
      <c r="AP31" s="49">
        <v>26763.599999999999</v>
      </c>
      <c r="AQ31">
        <v>44257</v>
      </c>
      <c r="AR31">
        <v>22652</v>
      </c>
      <c r="AS31">
        <v>15102</v>
      </c>
      <c r="AT31">
        <v>0</v>
      </c>
      <c r="AU31">
        <v>0</v>
      </c>
      <c r="AV31" s="27">
        <v>7.4000775022143583E-2</v>
      </c>
      <c r="AX31" s="73"/>
      <c r="BB31" s="49">
        <v>26586</v>
      </c>
      <c r="BC31">
        <v>51740</v>
      </c>
      <c r="BD31">
        <v>14725</v>
      </c>
      <c r="BE31">
        <v>0</v>
      </c>
      <c r="BF31">
        <v>0</v>
      </c>
      <c r="BG31">
        <v>0</v>
      </c>
      <c r="BH31" s="27">
        <v>5.8489390033147244E-2</v>
      </c>
      <c r="BJ31" s="73"/>
      <c r="BN31" s="49">
        <v>38188.400000000001</v>
      </c>
      <c r="BO31">
        <v>80640</v>
      </c>
      <c r="BP31">
        <v>14831</v>
      </c>
      <c r="BQ31">
        <v>12127</v>
      </c>
      <c r="BR31">
        <v>0</v>
      </c>
      <c r="BS31">
        <v>0</v>
      </c>
      <c r="BT31" s="27">
        <v>6.5466576610969107E-2</v>
      </c>
      <c r="BV31" s="73"/>
      <c r="BZ31" s="49">
        <v>20584.400000000001</v>
      </c>
      <c r="CA31">
        <v>36723</v>
      </c>
      <c r="CB31">
        <v>14738</v>
      </c>
      <c r="CC31">
        <v>11299</v>
      </c>
      <c r="CD31">
        <v>0</v>
      </c>
      <c r="CE31">
        <v>0</v>
      </c>
      <c r="CF31" s="27">
        <v>3.6040086166526111E-2</v>
      </c>
      <c r="CH31" s="73"/>
      <c r="CL31" s="49">
        <v>15551.2</v>
      </c>
      <c r="CM31" s="29">
        <v>22757</v>
      </c>
      <c r="CN31" s="29">
        <v>16121</v>
      </c>
      <c r="CO31">
        <v>10216</v>
      </c>
      <c r="CP31">
        <v>0</v>
      </c>
      <c r="CQ31">
        <v>0</v>
      </c>
      <c r="CR31" s="27">
        <v>0.16135294878985287</v>
      </c>
      <c r="CT31" s="73"/>
      <c r="CW31" s="27">
        <v>0.11202877216613326</v>
      </c>
      <c r="CX31" s="74">
        <v>0</v>
      </c>
    </row>
    <row r="32" spans="1:207" s="4" customFormat="1" ht="15" thickBot="1" x14ac:dyDescent="0.35">
      <c r="A32" s="16" t="s">
        <v>10</v>
      </c>
      <c r="B32" s="110" t="s">
        <v>45</v>
      </c>
      <c r="C32" s="110">
        <v>22829</v>
      </c>
      <c r="D32" s="111">
        <v>12579.920000000002</v>
      </c>
      <c r="E32" s="8">
        <v>21000.6</v>
      </c>
      <c r="F32" s="9">
        <v>10449.200000000001</v>
      </c>
      <c r="G32" s="9">
        <v>0</v>
      </c>
      <c r="H32" s="9">
        <v>0</v>
      </c>
      <c r="I32" s="9">
        <v>0</v>
      </c>
      <c r="J32" s="76">
        <v>0.11271102041004372</v>
      </c>
      <c r="K32" s="76">
        <v>4.4332545503086808E-3</v>
      </c>
      <c r="L32" s="76">
        <v>7.0522520392481219E-2</v>
      </c>
      <c r="M32" s="76">
        <v>1.5270097251602758E-2</v>
      </c>
      <c r="N32" s="112">
        <v>8.0091112181873994E-2</v>
      </c>
      <c r="O32" s="76" t="e">
        <v>#DIV/0!</v>
      </c>
      <c r="P32" s="75">
        <v>52554.400000000001</v>
      </c>
      <c r="Q32" s="113">
        <v>81057</v>
      </c>
      <c r="R32" s="114">
        <v>38526.76</v>
      </c>
      <c r="S32" s="75">
        <v>75774.600000000006</v>
      </c>
      <c r="T32" s="75">
        <v>20293.400000000001</v>
      </c>
      <c r="U32" s="75">
        <v>1084.4000000000001</v>
      </c>
      <c r="V32" s="75">
        <v>0</v>
      </c>
      <c r="W32" s="75">
        <v>497.8</v>
      </c>
      <c r="X32" s="76">
        <v>0.26691656645304673</v>
      </c>
      <c r="Y32" s="76">
        <v>7.4991633276081252E-3</v>
      </c>
      <c r="Z32" s="112">
        <v>6.5168955179688293E-2</v>
      </c>
      <c r="AA32" s="76" t="e">
        <v>#DIV/0!</v>
      </c>
      <c r="AB32" s="75">
        <v>24504.799999999999</v>
      </c>
      <c r="AC32" s="75">
        <v>48120</v>
      </c>
      <c r="AD32" s="114">
        <v>20081.759999999998</v>
      </c>
      <c r="AE32" s="75">
        <v>37947.800000000003</v>
      </c>
      <c r="AF32" s="75">
        <v>12256.6</v>
      </c>
      <c r="AG32" s="75">
        <v>12108.6</v>
      </c>
      <c r="AH32" s="75">
        <v>0</v>
      </c>
      <c r="AI32" s="75">
        <v>0</v>
      </c>
      <c r="AJ32" s="76">
        <v>0.18049688224347887</v>
      </c>
      <c r="AK32" s="76">
        <v>3.9229115014193265E-3</v>
      </c>
      <c r="AL32" s="112">
        <v>0.21139235245220275</v>
      </c>
      <c r="AM32" s="76" t="e">
        <v>#DIV/0!</v>
      </c>
      <c r="AN32" s="75">
        <v>28902.400000000001</v>
      </c>
      <c r="AO32" s="75">
        <v>48676</v>
      </c>
      <c r="AP32" s="114">
        <v>26695.040000000001</v>
      </c>
      <c r="AQ32" s="75">
        <v>44107.199999999997</v>
      </c>
      <c r="AR32" s="75">
        <v>22630.400000000001</v>
      </c>
      <c r="AS32" s="75">
        <v>12462</v>
      </c>
      <c r="AT32" s="75">
        <v>0</v>
      </c>
      <c r="AU32" s="75">
        <v>0</v>
      </c>
      <c r="AV32" s="76">
        <v>7.6372896368467683E-2</v>
      </c>
      <c r="AW32" s="115">
        <v>2.1834394342411501E-3</v>
      </c>
      <c r="AX32" s="112">
        <v>9.3861451228531581E-2</v>
      </c>
      <c r="AY32" s="76" t="e">
        <v>#DIV/0!</v>
      </c>
      <c r="AZ32" s="75">
        <v>28237.599999999999</v>
      </c>
      <c r="BA32" s="75">
        <v>55474</v>
      </c>
      <c r="BB32" s="114">
        <v>26622.799999999999</v>
      </c>
      <c r="BC32" s="75">
        <v>51841.8</v>
      </c>
      <c r="BD32" s="75">
        <v>14715.2</v>
      </c>
      <c r="BE32" s="75">
        <v>0</v>
      </c>
      <c r="BF32" s="75">
        <v>0</v>
      </c>
      <c r="BG32" s="75">
        <v>0</v>
      </c>
      <c r="BH32" s="76">
        <v>5.7186163130011028E-2</v>
      </c>
      <c r="BI32" s="76">
        <v>2.9141039455192344E-3</v>
      </c>
      <c r="BJ32" s="112">
        <v>6.5475718354544424E-2</v>
      </c>
      <c r="BK32" s="76" t="e">
        <v>#DIV/0!</v>
      </c>
      <c r="BL32" s="75">
        <v>40863.599999999999</v>
      </c>
      <c r="BM32" s="75">
        <v>86423</v>
      </c>
      <c r="BN32" s="114">
        <v>38205.68</v>
      </c>
      <c r="BO32" s="75">
        <v>80680.399999999994</v>
      </c>
      <c r="BP32" s="75">
        <v>14833.8</v>
      </c>
      <c r="BQ32" s="75">
        <v>12340.8</v>
      </c>
      <c r="BR32" s="75">
        <v>0</v>
      </c>
      <c r="BS32" s="75">
        <v>0</v>
      </c>
      <c r="BT32" s="76">
        <v>6.5043706379271482E-2</v>
      </c>
      <c r="BU32" s="115">
        <v>7.6743990105678308E-4</v>
      </c>
      <c r="BV32" s="112">
        <v>6.6447589183435032E-2</v>
      </c>
      <c r="BW32" s="76" t="e">
        <v>#DIV/0!</v>
      </c>
      <c r="BX32" s="75">
        <v>21354</v>
      </c>
      <c r="BY32" s="75">
        <v>38534</v>
      </c>
      <c r="BZ32" s="114">
        <v>20586.879999999997</v>
      </c>
      <c r="CA32" s="75">
        <v>36728.800000000003</v>
      </c>
      <c r="CB32" s="75">
        <v>14738.4</v>
      </c>
      <c r="CC32" s="75">
        <v>10839.4</v>
      </c>
      <c r="CD32" s="75">
        <v>0</v>
      </c>
      <c r="CE32" s="75">
        <v>0</v>
      </c>
      <c r="CF32" s="76">
        <v>3.5608430913348851E-2</v>
      </c>
      <c r="CG32" s="115">
        <v>1.840724386193089E-3</v>
      </c>
      <c r="CH32" s="112">
        <v>4.6846940364353482E-2</v>
      </c>
      <c r="CI32" s="76" t="e">
        <v>#DIV/0!</v>
      </c>
      <c r="CJ32" s="75">
        <v>18543.2</v>
      </c>
      <c r="CK32" s="75">
        <v>28067</v>
      </c>
      <c r="CL32" s="114">
        <v>15767.679999999998</v>
      </c>
      <c r="CM32" s="75">
        <v>23272.2</v>
      </c>
      <c r="CN32" s="75">
        <v>16147</v>
      </c>
      <c r="CO32" s="75">
        <v>9764</v>
      </c>
      <c r="CP32" s="75">
        <v>0</v>
      </c>
      <c r="CQ32" s="75">
        <v>0</v>
      </c>
      <c r="CR32" s="76">
        <v>0.1495409974002439</v>
      </c>
      <c r="CS32" s="115">
        <v>1.0681566548289771E-3</v>
      </c>
      <c r="CT32" s="112">
        <v>0.17083407560480277</v>
      </c>
      <c r="CU32" s="76" t="e">
        <v>#DIV/0!</v>
      </c>
      <c r="CV32" s="75"/>
      <c r="CW32" s="76">
        <v>0.11271102041004372</v>
      </c>
      <c r="CX32" s="77">
        <v>4.4332545503086808E-3</v>
      </c>
      <c r="CY32"/>
      <c r="CZ32"/>
      <c r="DA32"/>
      <c r="DB32"/>
      <c r="DC32"/>
      <c r="DD32"/>
      <c r="DE32"/>
      <c r="DF32"/>
      <c r="DG32"/>
      <c r="DH32"/>
      <c r="DI32"/>
      <c r="GV32" s="4" t="e">
        <v>#DIV/0!</v>
      </c>
      <c r="GW32" s="4" t="e">
        <v>#DIV/0!</v>
      </c>
      <c r="GX32" s="4" t="e">
        <v>#DIV/0!</v>
      </c>
      <c r="GY32" s="4" t="e">
        <v>#DIV/0!</v>
      </c>
    </row>
    <row r="33" spans="1:99" x14ac:dyDescent="0.3">
      <c r="A33" s="2"/>
      <c r="B33" s="42"/>
      <c r="C33" s="42"/>
      <c r="D33" s="2"/>
      <c r="N33" s="73"/>
      <c r="R33" s="2"/>
      <c r="AF33" s="1"/>
      <c r="AG33" s="1"/>
    </row>
    <row r="34" spans="1:99" x14ac:dyDescent="0.3">
      <c r="A34" s="2"/>
      <c r="B34" s="42"/>
      <c r="C34" s="42"/>
      <c r="D34" s="2"/>
      <c r="N34" s="73"/>
      <c r="R34" s="2"/>
      <c r="AF34" s="1"/>
      <c r="AG34" s="1"/>
      <c r="CF34" s="27"/>
      <c r="CG34" s="27"/>
    </row>
    <row r="35" spans="1:99" x14ac:dyDescent="0.3">
      <c r="A35" s="3"/>
      <c r="B35" s="43"/>
      <c r="C35" s="43"/>
      <c r="D35" s="3"/>
      <c r="R35" s="3"/>
      <c r="AF35" s="1"/>
      <c r="AG35" s="1"/>
      <c r="CL35" s="49"/>
      <c r="CR35" s="27"/>
      <c r="CS35" s="27"/>
      <c r="CT35" s="73"/>
      <c r="CU35" s="27"/>
    </row>
    <row r="36" spans="1:99" x14ac:dyDescent="0.3">
      <c r="AF36" s="1"/>
      <c r="AG36" s="1"/>
    </row>
    <row r="37" spans="1:99" x14ac:dyDescent="0.3">
      <c r="AF37" s="1"/>
      <c r="AG37" s="1"/>
    </row>
    <row r="38" spans="1:99" x14ac:dyDescent="0.3">
      <c r="AF38" s="1"/>
      <c r="AG38" s="1"/>
    </row>
    <row r="48" spans="1:99" x14ac:dyDescent="0.3">
      <c r="A48" s="2"/>
      <c r="B48" s="42"/>
      <c r="C48" s="42"/>
      <c r="D48" s="2"/>
      <c r="R48" s="2"/>
    </row>
  </sheetData>
  <mergeCells count="8">
    <mergeCell ref="L1:M1"/>
    <mergeCell ref="BL1:BW1"/>
    <mergeCell ref="BX1:CI1"/>
    <mergeCell ref="CJ1:CU1"/>
    <mergeCell ref="AN1:AY1"/>
    <mergeCell ref="P1:AA1"/>
    <mergeCell ref="AB1:AM1"/>
    <mergeCell ref="AZ1:BK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ED0CC-DF38-46A3-9B80-2EEAF21FC00B}">
  <dimension ref="A1:GY50"/>
  <sheetViews>
    <sheetView topLeftCell="AJ1" zoomScale="95" zoomScaleNormal="95" workbookViewId="0">
      <selection activeCell="AJ20" sqref="AJ20"/>
    </sheetView>
  </sheetViews>
  <sheetFormatPr defaultRowHeight="14.4" x14ac:dyDescent="0.3"/>
  <cols>
    <col min="1" max="1" width="10.109375" customWidth="1"/>
    <col min="2" max="3" width="12.77734375" hidden="1" customWidth="1"/>
    <col min="4" max="4" width="21.88671875" hidden="1" customWidth="1"/>
    <col min="5" max="5" width="12.33203125" hidden="1" customWidth="1"/>
    <col min="6" max="6" width="8.77734375" hidden="1" customWidth="1"/>
    <col min="7" max="7" width="15.5546875" hidden="1" customWidth="1"/>
    <col min="8" max="8" width="17.5546875" hidden="1" customWidth="1"/>
    <col min="9" max="9" width="17" hidden="1" customWidth="1"/>
    <col min="10" max="10" width="21.109375" customWidth="1"/>
    <col min="11" max="11" width="13.88671875" customWidth="1"/>
    <col min="12" max="13" width="17" customWidth="1"/>
    <col min="14" max="17" width="17" hidden="1" customWidth="1"/>
    <col min="18" max="18" width="13.5546875" hidden="1" customWidth="1"/>
    <col min="19" max="19" width="12.33203125" hidden="1" customWidth="1"/>
    <col min="20" max="20" width="8.77734375" hidden="1" customWidth="1"/>
    <col min="21" max="21" width="15.5546875" hidden="1" customWidth="1"/>
    <col min="22" max="22" width="17.5546875" hidden="1" customWidth="1"/>
    <col min="23" max="23" width="17" hidden="1" customWidth="1"/>
    <col min="24" max="25" width="17" customWidth="1"/>
    <col min="26" max="30" width="17" hidden="1" customWidth="1"/>
    <col min="31" max="31" width="12.33203125" hidden="1" customWidth="1"/>
    <col min="32" max="32" width="8.77734375" hidden="1" customWidth="1"/>
    <col min="33" max="33" width="15.5546875" hidden="1" customWidth="1"/>
    <col min="34" max="34" width="17.5546875" hidden="1" customWidth="1"/>
    <col min="35" max="35" width="17" hidden="1" customWidth="1"/>
    <col min="36" max="37" width="17" customWidth="1"/>
    <col min="38" max="42" width="17" hidden="1" customWidth="1"/>
    <col min="43" max="43" width="12.33203125" hidden="1" customWidth="1"/>
    <col min="44" max="44" width="8.77734375" hidden="1" customWidth="1"/>
    <col min="45" max="45" width="15.5546875" hidden="1" customWidth="1"/>
    <col min="46" max="46" width="17.5546875" hidden="1" customWidth="1"/>
    <col min="47" max="47" width="17" hidden="1" customWidth="1"/>
    <col min="48" max="49" width="17" customWidth="1"/>
    <col min="50" max="54" width="17" hidden="1" customWidth="1"/>
    <col min="55" max="55" width="12.33203125" hidden="1" customWidth="1"/>
    <col min="56" max="56" width="8.77734375" hidden="1" customWidth="1"/>
    <col min="57" max="57" width="15.5546875" hidden="1" customWidth="1"/>
    <col min="58" max="58" width="17.5546875" hidden="1" customWidth="1"/>
    <col min="59" max="59" width="17" hidden="1" customWidth="1"/>
    <col min="60" max="61" width="17" customWidth="1"/>
    <col min="62" max="66" width="17" hidden="1" customWidth="1"/>
    <col min="67" max="67" width="12.33203125" hidden="1" customWidth="1"/>
    <col min="68" max="68" width="8.77734375" hidden="1" customWidth="1"/>
    <col min="69" max="69" width="15.5546875" hidden="1" customWidth="1"/>
    <col min="70" max="70" width="17.5546875" hidden="1" customWidth="1"/>
    <col min="71" max="71" width="17" hidden="1" customWidth="1"/>
    <col min="72" max="73" width="17" customWidth="1"/>
    <col min="74" max="78" width="17" hidden="1" customWidth="1"/>
    <col min="79" max="79" width="12.33203125" hidden="1" customWidth="1"/>
    <col min="80" max="80" width="8.77734375" hidden="1" customWidth="1"/>
    <col min="81" max="81" width="15.5546875" hidden="1" customWidth="1"/>
    <col min="82" max="82" width="17.5546875" hidden="1" customWidth="1"/>
    <col min="83" max="83" width="17" hidden="1" customWidth="1"/>
    <col min="84" max="85" width="17" customWidth="1"/>
    <col min="86" max="90" width="17" hidden="1" customWidth="1"/>
    <col min="91" max="91" width="12.33203125" hidden="1" customWidth="1"/>
    <col min="92" max="92" width="8.77734375" hidden="1" customWidth="1"/>
    <col min="93" max="93" width="15.5546875" hidden="1" customWidth="1"/>
    <col min="94" max="94" width="17.5546875" hidden="1" customWidth="1"/>
    <col min="95" max="95" width="17" hidden="1" customWidth="1"/>
    <col min="96" max="97" width="17" customWidth="1"/>
    <col min="98" max="99" width="17" hidden="1" customWidth="1"/>
    <col min="100" max="100" width="7.109375" bestFit="1" customWidth="1"/>
    <col min="101" max="101" width="14.44140625" customWidth="1"/>
    <col min="102" max="102" width="13.88671875" customWidth="1"/>
    <col min="103" max="207" width="7.109375" bestFit="1" customWidth="1"/>
  </cols>
  <sheetData>
    <row r="1" spans="1:207" ht="15" customHeight="1" thickBot="1" x14ac:dyDescent="0.35">
      <c r="A1" s="87" t="s">
        <v>58</v>
      </c>
      <c r="B1" s="116" t="s">
        <v>24</v>
      </c>
      <c r="C1" s="117"/>
      <c r="D1" s="117"/>
      <c r="E1" s="117"/>
      <c r="F1" s="117"/>
      <c r="G1" s="117"/>
      <c r="H1" s="117"/>
      <c r="I1" s="117"/>
      <c r="J1" s="118"/>
      <c r="K1" s="118"/>
      <c r="L1" s="140" t="s">
        <v>24</v>
      </c>
      <c r="M1" s="140"/>
      <c r="N1" s="117"/>
      <c r="O1" s="119"/>
      <c r="P1" s="141" t="s">
        <v>4</v>
      </c>
      <c r="Q1" s="142"/>
      <c r="R1" s="142"/>
      <c r="S1" s="142"/>
      <c r="T1" s="142"/>
      <c r="U1" s="142"/>
      <c r="V1" s="142"/>
      <c r="W1" s="142"/>
      <c r="X1" s="142"/>
      <c r="Y1" s="142"/>
      <c r="Z1" s="142"/>
      <c r="AA1" s="143"/>
      <c r="AB1" s="140" t="s">
        <v>5</v>
      </c>
      <c r="AC1" s="140"/>
      <c r="AD1" s="140"/>
      <c r="AE1" s="140"/>
      <c r="AF1" s="140"/>
      <c r="AG1" s="140"/>
      <c r="AH1" s="140"/>
      <c r="AI1" s="140"/>
      <c r="AJ1" s="140"/>
      <c r="AK1" s="140"/>
      <c r="AL1" s="140"/>
      <c r="AM1" s="140"/>
      <c r="AN1" s="142" t="s">
        <v>1</v>
      </c>
      <c r="AO1" s="142"/>
      <c r="AP1" s="142"/>
      <c r="AQ1" s="142"/>
      <c r="AR1" s="142"/>
      <c r="AS1" s="142"/>
      <c r="AT1" s="142"/>
      <c r="AU1" s="142"/>
      <c r="AV1" s="142"/>
      <c r="AW1" s="142"/>
      <c r="AX1" s="142"/>
      <c r="AY1" s="142"/>
      <c r="AZ1" s="140" t="s">
        <v>2</v>
      </c>
      <c r="BA1" s="140"/>
      <c r="BB1" s="140"/>
      <c r="BC1" s="140"/>
      <c r="BD1" s="140"/>
      <c r="BE1" s="140"/>
      <c r="BF1" s="140"/>
      <c r="BG1" s="140"/>
      <c r="BH1" s="140"/>
      <c r="BI1" s="140"/>
      <c r="BJ1" s="140"/>
      <c r="BK1" s="140"/>
      <c r="BL1" s="142" t="s">
        <v>16</v>
      </c>
      <c r="BM1" s="142"/>
      <c r="BN1" s="142"/>
      <c r="BO1" s="142"/>
      <c r="BP1" s="142"/>
      <c r="BQ1" s="142"/>
      <c r="BR1" s="142"/>
      <c r="BS1" s="142"/>
      <c r="BT1" s="142"/>
      <c r="BU1" s="142"/>
      <c r="BV1" s="142"/>
      <c r="BW1" s="143"/>
      <c r="BX1" s="144" t="s">
        <v>3</v>
      </c>
      <c r="BY1" s="140"/>
      <c r="BZ1" s="140"/>
      <c r="CA1" s="140"/>
      <c r="CB1" s="140"/>
      <c r="CC1" s="140"/>
      <c r="CD1" s="140"/>
      <c r="CE1" s="140"/>
      <c r="CF1" s="140"/>
      <c r="CG1" s="140"/>
      <c r="CH1" s="140"/>
      <c r="CI1" s="140"/>
      <c r="CJ1" s="142" t="s">
        <v>17</v>
      </c>
      <c r="CK1" s="142"/>
      <c r="CL1" s="142"/>
      <c r="CM1" s="142"/>
      <c r="CN1" s="142"/>
      <c r="CO1" s="142"/>
      <c r="CP1" s="142"/>
      <c r="CQ1" s="142"/>
      <c r="CR1" s="142"/>
      <c r="CS1" s="142"/>
      <c r="CT1" s="142"/>
      <c r="CU1" s="143"/>
    </row>
    <row r="2" spans="1:207" s="107" customFormat="1" ht="15" thickBot="1" x14ac:dyDescent="0.35">
      <c r="A2" s="134" t="s">
        <v>55</v>
      </c>
      <c r="B2" s="17" t="s">
        <v>23</v>
      </c>
      <c r="C2" s="17"/>
      <c r="D2" s="10" t="s">
        <v>20</v>
      </c>
      <c r="E2" s="10" t="s">
        <v>11</v>
      </c>
      <c r="F2" s="11" t="s">
        <v>12</v>
      </c>
      <c r="G2" s="11" t="s">
        <v>13</v>
      </c>
      <c r="H2" s="11" t="s">
        <v>14</v>
      </c>
      <c r="I2" s="12" t="s">
        <v>15</v>
      </c>
      <c r="J2" s="90" t="s">
        <v>56</v>
      </c>
      <c r="K2" s="90" t="s">
        <v>57</v>
      </c>
      <c r="L2" s="11" t="s">
        <v>21</v>
      </c>
      <c r="M2" s="11" t="s">
        <v>19</v>
      </c>
      <c r="N2" s="11" t="s">
        <v>22</v>
      </c>
      <c r="O2" s="12" t="s">
        <v>18</v>
      </c>
      <c r="P2" s="17" t="s">
        <v>23</v>
      </c>
      <c r="Q2" s="17"/>
      <c r="R2" s="10" t="s">
        <v>20</v>
      </c>
      <c r="S2" s="10" t="s">
        <v>11</v>
      </c>
      <c r="T2" s="11" t="s">
        <v>12</v>
      </c>
      <c r="U2" s="11" t="s">
        <v>13</v>
      </c>
      <c r="V2" s="11" t="s">
        <v>14</v>
      </c>
      <c r="W2" s="12" t="s">
        <v>15</v>
      </c>
      <c r="X2" s="11" t="s">
        <v>21</v>
      </c>
      <c r="Y2" s="11" t="s">
        <v>19</v>
      </c>
      <c r="Z2" s="11" t="s">
        <v>22</v>
      </c>
      <c r="AA2" s="12" t="s">
        <v>18</v>
      </c>
      <c r="AB2" s="17" t="s">
        <v>23</v>
      </c>
      <c r="AC2" s="17"/>
      <c r="AD2" s="10" t="s">
        <v>20</v>
      </c>
      <c r="AE2" s="10" t="s">
        <v>11</v>
      </c>
      <c r="AF2" s="11" t="s">
        <v>12</v>
      </c>
      <c r="AG2" s="11" t="s">
        <v>13</v>
      </c>
      <c r="AH2" s="11" t="s">
        <v>14</v>
      </c>
      <c r="AI2" s="12" t="s">
        <v>15</v>
      </c>
      <c r="AJ2" s="11" t="s">
        <v>21</v>
      </c>
      <c r="AK2" s="11" t="s">
        <v>19</v>
      </c>
      <c r="AL2" s="11" t="s">
        <v>22</v>
      </c>
      <c r="AM2" s="12" t="s">
        <v>18</v>
      </c>
      <c r="AN2" s="17" t="s">
        <v>23</v>
      </c>
      <c r="AO2" s="17"/>
      <c r="AP2" s="10" t="s">
        <v>20</v>
      </c>
      <c r="AQ2" s="10" t="s">
        <v>11</v>
      </c>
      <c r="AR2" s="11" t="s">
        <v>12</v>
      </c>
      <c r="AS2" s="11" t="s">
        <v>13</v>
      </c>
      <c r="AT2" s="11" t="s">
        <v>14</v>
      </c>
      <c r="AU2" s="12" t="s">
        <v>15</v>
      </c>
      <c r="AV2" s="11" t="s">
        <v>21</v>
      </c>
      <c r="AW2" s="11" t="s">
        <v>19</v>
      </c>
      <c r="AX2" s="11" t="s">
        <v>22</v>
      </c>
      <c r="AY2" s="12" t="s">
        <v>18</v>
      </c>
      <c r="AZ2" s="17" t="s">
        <v>23</v>
      </c>
      <c r="BA2" s="17"/>
      <c r="BB2" s="10" t="s">
        <v>20</v>
      </c>
      <c r="BC2" s="10" t="s">
        <v>11</v>
      </c>
      <c r="BD2" s="11" t="s">
        <v>12</v>
      </c>
      <c r="BE2" s="11" t="s">
        <v>13</v>
      </c>
      <c r="BF2" s="11" t="s">
        <v>14</v>
      </c>
      <c r="BG2" s="12" t="s">
        <v>15</v>
      </c>
      <c r="BH2" s="11" t="s">
        <v>21</v>
      </c>
      <c r="BI2" s="11" t="s">
        <v>19</v>
      </c>
      <c r="BJ2" s="11" t="s">
        <v>22</v>
      </c>
      <c r="BK2" s="12" t="s">
        <v>18</v>
      </c>
      <c r="BL2" s="17" t="s">
        <v>23</v>
      </c>
      <c r="BM2" s="17"/>
      <c r="BN2" s="10" t="s">
        <v>20</v>
      </c>
      <c r="BO2" s="10" t="s">
        <v>11</v>
      </c>
      <c r="BP2" s="11" t="s">
        <v>12</v>
      </c>
      <c r="BQ2" s="11" t="s">
        <v>13</v>
      </c>
      <c r="BR2" s="11" t="s">
        <v>14</v>
      </c>
      <c r="BS2" s="12" t="s">
        <v>15</v>
      </c>
      <c r="BT2" s="11" t="s">
        <v>21</v>
      </c>
      <c r="BU2" s="11" t="s">
        <v>19</v>
      </c>
      <c r="BV2" s="11" t="s">
        <v>22</v>
      </c>
      <c r="BW2" s="12" t="s">
        <v>18</v>
      </c>
      <c r="BX2" s="17" t="s">
        <v>23</v>
      </c>
      <c r="BY2" s="17"/>
      <c r="BZ2" s="10" t="s">
        <v>20</v>
      </c>
      <c r="CA2" s="10" t="s">
        <v>11</v>
      </c>
      <c r="CB2" s="11" t="s">
        <v>12</v>
      </c>
      <c r="CC2" s="11" t="s">
        <v>13</v>
      </c>
      <c r="CD2" s="11" t="s">
        <v>14</v>
      </c>
      <c r="CE2" s="12" t="s">
        <v>15</v>
      </c>
      <c r="CF2" s="11" t="s">
        <v>21</v>
      </c>
      <c r="CG2" s="11" t="s">
        <v>19</v>
      </c>
      <c r="CH2" s="11" t="s">
        <v>22</v>
      </c>
      <c r="CI2" s="12" t="s">
        <v>18</v>
      </c>
      <c r="CJ2" s="17" t="s">
        <v>23</v>
      </c>
      <c r="CK2" s="17"/>
      <c r="CL2" s="10" t="s">
        <v>20</v>
      </c>
      <c r="CM2" s="10" t="s">
        <v>11</v>
      </c>
      <c r="CN2" s="11" t="s">
        <v>12</v>
      </c>
      <c r="CO2" s="11" t="s">
        <v>13</v>
      </c>
      <c r="CP2" s="11" t="s">
        <v>14</v>
      </c>
      <c r="CQ2" s="12" t="s">
        <v>15</v>
      </c>
      <c r="CR2" s="11" t="s">
        <v>21</v>
      </c>
      <c r="CS2" s="11" t="s">
        <v>19</v>
      </c>
      <c r="CT2" s="11" t="s">
        <v>22</v>
      </c>
      <c r="CU2" s="12" t="s">
        <v>18</v>
      </c>
      <c r="CW2" s="11" t="s">
        <v>53</v>
      </c>
      <c r="CX2" s="11" t="s">
        <v>54</v>
      </c>
    </row>
    <row r="3" spans="1:207" hidden="1" x14ac:dyDescent="0.3">
      <c r="A3" s="14" t="s">
        <v>25</v>
      </c>
      <c r="B3" s="23"/>
      <c r="C3" s="23"/>
      <c r="D3" s="24">
        <f>0.4 * E3 + 0.4 * F3 + 0.2 * I3</f>
        <v>12461.2</v>
      </c>
      <c r="E3" s="5">
        <v>20689</v>
      </c>
      <c r="F3">
        <v>10464</v>
      </c>
      <c r="G3">
        <v>0</v>
      </c>
      <c r="H3">
        <v>0</v>
      </c>
      <c r="I3" s="6">
        <v>0</v>
      </c>
      <c r="L3" s="50">
        <f>($B$8-D3)/$B$8</f>
        <v>7.926703118072996E-2</v>
      </c>
      <c r="N3" s="51"/>
      <c r="O3" s="6"/>
      <c r="R3" s="24">
        <f>0.4 * S3 + 0.4 * T3 + 0.2 * W3</f>
        <v>38196.600000000006</v>
      </c>
      <c r="S3" s="5">
        <v>74404</v>
      </c>
      <c r="T3">
        <v>20114</v>
      </c>
      <c r="U3">
        <v>583</v>
      </c>
      <c r="V3">
        <v>0</v>
      </c>
      <c r="W3" s="6">
        <v>1947</v>
      </c>
      <c r="X3" s="50">
        <f>($P$8-R3)/$P$8</f>
        <v>0.27314349652904629</v>
      </c>
      <c r="Z3" s="51"/>
      <c r="AA3" s="6"/>
      <c r="AB3" s="6"/>
      <c r="AD3" s="24">
        <f>0.4 * AE3 + 0.4 * AF3 + 0.2 * AI3</f>
        <v>19962.400000000001</v>
      </c>
      <c r="AE3" s="5">
        <v>37680</v>
      </c>
      <c r="AF3">
        <v>12226</v>
      </c>
      <c r="AG3">
        <v>12671</v>
      </c>
      <c r="AH3">
        <v>0</v>
      </c>
      <c r="AI3">
        <v>0</v>
      </c>
      <c r="AJ3" s="50">
        <f>($AB$8-AD3)/$AB$8</f>
        <v>0.1852347678443152</v>
      </c>
      <c r="AL3" s="51"/>
      <c r="AM3" s="6"/>
      <c r="AN3" s="6"/>
      <c r="AP3" s="24">
        <f>0.4 * AQ3 + 0.4 * AR3 + 0.2 * AU3</f>
        <v>26659.200000000001</v>
      </c>
      <c r="AQ3">
        <v>44018</v>
      </c>
      <c r="AR3">
        <v>22630</v>
      </c>
      <c r="AS3">
        <v>16023</v>
      </c>
      <c r="AT3">
        <v>0</v>
      </c>
      <c r="AU3">
        <v>0</v>
      </c>
      <c r="AV3" s="50">
        <f>($AN$8-AP3)/$AN$8</f>
        <v>7.7485258699443588E-2</v>
      </c>
      <c r="AX3" s="51"/>
      <c r="AY3" s="6"/>
      <c r="AZ3" s="6"/>
      <c r="BB3" s="24">
        <f>0.4 * BC3 + 0.4 * BD3 + 0.2 * BG3</f>
        <v>26586</v>
      </c>
      <c r="BC3" s="5">
        <v>51740</v>
      </c>
      <c r="BD3">
        <v>14725</v>
      </c>
      <c r="BE3">
        <v>0</v>
      </c>
      <c r="BF3">
        <v>0</v>
      </c>
      <c r="BG3">
        <v>0</v>
      </c>
      <c r="BH3" s="50">
        <f>($AZ$8-BB3)/$AZ$8</f>
        <v>5.8356001360081559E-2</v>
      </c>
      <c r="BJ3" s="51"/>
      <c r="BK3" s="6"/>
      <c r="BL3" s="6"/>
      <c r="BN3" s="24">
        <f>0.4 * BO3 + 0.4 * BP3 + 0.2 * BS3</f>
        <v>38188.800000000003</v>
      </c>
      <c r="BO3" s="5">
        <v>80640</v>
      </c>
      <c r="BP3">
        <v>14832</v>
      </c>
      <c r="BQ3">
        <v>12073</v>
      </c>
      <c r="BR3">
        <v>0</v>
      </c>
      <c r="BS3">
        <v>0</v>
      </c>
      <c r="BT3" s="50">
        <f>($BL$8-BN3)/$BL$8</f>
        <v>6.5365299709248148E-2</v>
      </c>
      <c r="BV3" s="51"/>
      <c r="BW3" s="6"/>
      <c r="BX3" s="6"/>
      <c r="BZ3" s="24">
        <f>0.4 * CA3 + 0.4 * CB3 + 0.2 * CE3</f>
        <v>20549.599999999999</v>
      </c>
      <c r="CA3" s="5">
        <v>36640</v>
      </c>
      <c r="CB3">
        <v>14734</v>
      </c>
      <c r="CC3">
        <v>11298</v>
      </c>
      <c r="CD3">
        <v>0</v>
      </c>
      <c r="CE3">
        <v>0</v>
      </c>
      <c r="CF3" s="50">
        <f>($BX$8-BZ3)/$BX$8</f>
        <v>3.7489461358313887E-2</v>
      </c>
      <c r="CH3" s="51"/>
      <c r="CI3" s="6"/>
      <c r="CJ3" s="6"/>
      <c r="CL3" s="24">
        <f>0.4 * CM3 + 0.4 * CN3 + 0.2 * CQ3</f>
        <v>15762.800000000001</v>
      </c>
      <c r="CM3" s="5">
        <v>23222</v>
      </c>
      <c r="CN3">
        <v>16146</v>
      </c>
      <c r="CO3">
        <v>9229</v>
      </c>
      <c r="CP3">
        <v>0</v>
      </c>
      <c r="CQ3" s="6">
        <v>78</v>
      </c>
      <c r="CR3" s="50">
        <f>($CJ$8-CL3)/$CJ$8</f>
        <v>0.14975834987485973</v>
      </c>
      <c r="CT3" s="51"/>
      <c r="CU3" s="6"/>
    </row>
    <row r="4" spans="1:207" hidden="1" x14ac:dyDescent="0.3">
      <c r="A4" s="14" t="s">
        <v>25</v>
      </c>
      <c r="B4" s="23"/>
      <c r="C4" s="23"/>
      <c r="D4" s="24">
        <f>0.4 * E4 + 0.4 * F4 + 0.2 * I4</f>
        <v>12442</v>
      </c>
      <c r="E4" s="5">
        <v>20555</v>
      </c>
      <c r="F4">
        <v>10550</v>
      </c>
      <c r="G4">
        <v>0</v>
      </c>
      <c r="H4">
        <v>0</v>
      </c>
      <c r="I4" s="6">
        <v>0</v>
      </c>
      <c r="L4" s="45">
        <f t="shared" ref="L4:L7" si="0">($B$8-D4)/$B$8</f>
        <v>8.0685680508349344E-2</v>
      </c>
      <c r="N4" s="46"/>
      <c r="O4" s="6"/>
      <c r="R4" s="24">
        <f>0.4 * S4 + 0.4 * T4 + 0.2 * W4</f>
        <v>38891.599999999999</v>
      </c>
      <c r="S4" s="5">
        <v>76580</v>
      </c>
      <c r="T4">
        <v>20333</v>
      </c>
      <c r="U4">
        <v>1900</v>
      </c>
      <c r="V4">
        <v>0</v>
      </c>
      <c r="W4" s="6">
        <v>632</v>
      </c>
      <c r="X4" s="45">
        <f t="shared" ref="X4:X6" si="1">($P$8-R4)/$P$8</f>
        <v>0.25991809767385221</v>
      </c>
      <c r="Z4" s="46"/>
      <c r="AA4" s="6"/>
      <c r="AB4" s="6"/>
      <c r="AD4" s="24">
        <f>0.4 * AE4 + 0.4 * AF4 + 0.2 * AI4</f>
        <v>20031.2</v>
      </c>
      <c r="AE4" s="5">
        <v>37852</v>
      </c>
      <c r="AF4">
        <v>12226</v>
      </c>
      <c r="AG4">
        <v>12279</v>
      </c>
      <c r="AH4">
        <v>0</v>
      </c>
      <c r="AI4">
        <v>0</v>
      </c>
      <c r="AJ4" s="45">
        <f t="shared" ref="AJ4:AJ6" si="2">($AB$8-AD4)/$AB$8</f>
        <v>0.18242669627114211</v>
      </c>
      <c r="AL4" s="46"/>
      <c r="AM4" s="6"/>
      <c r="AN4" s="6"/>
      <c r="AP4" s="24">
        <f>0.4 * AQ4 + 0.4 * AR4 + 0.2 * AU4</f>
        <v>26763.599999999999</v>
      </c>
      <c r="AQ4">
        <v>44257</v>
      </c>
      <c r="AR4">
        <v>22652</v>
      </c>
      <c r="AS4">
        <v>15102</v>
      </c>
      <c r="AT4">
        <v>0</v>
      </c>
      <c r="AU4">
        <v>0</v>
      </c>
      <c r="AV4" s="45">
        <f t="shared" ref="AV4:AV7" si="3">($AN$8-AP4)/$AN$8</f>
        <v>7.3872601943360289E-2</v>
      </c>
      <c r="AX4" s="46"/>
      <c r="AY4" s="6"/>
      <c r="AZ4" s="6"/>
      <c r="BB4" s="24">
        <f>0.4 * BC4 + 0.4 * BD4 + 0.2 * BG4</f>
        <v>26692.799999999999</v>
      </c>
      <c r="BC4" s="5">
        <v>52090</v>
      </c>
      <c r="BD4">
        <v>14642</v>
      </c>
      <c r="BE4">
        <v>0</v>
      </c>
      <c r="BF4">
        <v>0</v>
      </c>
      <c r="BG4">
        <v>0</v>
      </c>
      <c r="BH4" s="45">
        <f t="shared" ref="BH4:BH6" si="4">($AZ$8-BB4)/$AZ$8</f>
        <v>5.4573274396463763E-2</v>
      </c>
      <c r="BJ4" s="46"/>
      <c r="BK4" s="6"/>
      <c r="BL4" s="6"/>
      <c r="BN4" s="24">
        <f>0.4 * BO4 + 0.4 * BP4 + 0.2 * BS4</f>
        <v>38202</v>
      </c>
      <c r="BO4" s="5">
        <v>80673</v>
      </c>
      <c r="BP4">
        <v>14832</v>
      </c>
      <c r="BQ4">
        <v>12267</v>
      </c>
      <c r="BR4">
        <v>0</v>
      </c>
      <c r="BS4">
        <v>0</v>
      </c>
      <c r="BT4" s="45">
        <f t="shared" ref="BT4:BT7" si="5">($BL$8-BN4)/$BL$8</f>
        <v>6.5042242214803828E-2</v>
      </c>
      <c r="BV4" s="46"/>
      <c r="BW4" s="6"/>
      <c r="BX4" s="6"/>
      <c r="BZ4" s="24">
        <f>0.4 * CA4 + 0.4 * CB4 + 0.2 * CE4</f>
        <v>20530.8</v>
      </c>
      <c r="CA4" s="5">
        <v>36595</v>
      </c>
      <c r="CB4">
        <v>14732</v>
      </c>
      <c r="CC4">
        <v>11324</v>
      </c>
      <c r="CD4">
        <v>0</v>
      </c>
      <c r="CE4">
        <v>0</v>
      </c>
      <c r="CF4" s="45">
        <f t="shared" ref="CF4:CF7" si="6">($BX$8-BZ4)/$BX$8</f>
        <v>3.8370023419203779E-2</v>
      </c>
      <c r="CH4" s="46"/>
      <c r="CI4" s="6"/>
      <c r="CJ4" s="6"/>
      <c r="CL4" s="24">
        <f>0.4 * CM4 + 0.4 * CN4 + 0.2 * CQ4</f>
        <v>15558.400000000001</v>
      </c>
      <c r="CM4" s="5">
        <v>22757</v>
      </c>
      <c r="CN4">
        <v>16139</v>
      </c>
      <c r="CO4">
        <v>9685</v>
      </c>
      <c r="CP4">
        <v>0</v>
      </c>
      <c r="CQ4" s="6">
        <v>0</v>
      </c>
      <c r="CR4" s="45">
        <f t="shared" ref="CR4:CR7" si="7">($CJ$8-CL4)/$CJ$8</f>
        <v>0.16078363683438332</v>
      </c>
      <c r="CT4" s="46"/>
      <c r="CU4" s="6"/>
    </row>
    <row r="5" spans="1:207" hidden="1" x14ac:dyDescent="0.3">
      <c r="A5" s="14" t="s">
        <v>25</v>
      </c>
      <c r="B5" s="23"/>
      <c r="C5" s="23"/>
      <c r="D5" s="24">
        <f t="shared" ref="D5:D6" si="8">0.4 * E5 + 0.4 * F5 + 0.2 * I5</f>
        <v>12374.400000000001</v>
      </c>
      <c r="E5" s="5">
        <v>20587</v>
      </c>
      <c r="F5">
        <v>10349</v>
      </c>
      <c r="G5">
        <v>0</v>
      </c>
      <c r="H5">
        <v>0</v>
      </c>
      <c r="I5" s="6">
        <v>0</v>
      </c>
      <c r="L5" s="45">
        <f t="shared" si="0"/>
        <v>8.5680508349342294E-2</v>
      </c>
      <c r="N5" s="46"/>
      <c r="O5" s="6"/>
      <c r="R5" s="24">
        <f t="shared" ref="R5:R6" si="9">0.4 * S5 + 0.4 * T5 + 0.2 * W5</f>
        <v>39080.000000000007</v>
      </c>
      <c r="S5" s="5">
        <v>77182</v>
      </c>
      <c r="T5">
        <v>20242</v>
      </c>
      <c r="U5">
        <v>2239</v>
      </c>
      <c r="V5">
        <v>0</v>
      </c>
      <c r="W5" s="6">
        <v>552</v>
      </c>
      <c r="X5" s="45">
        <f t="shared" si="1"/>
        <v>0.25633296796979649</v>
      </c>
      <c r="Z5" s="46"/>
      <c r="AA5" s="6"/>
      <c r="AB5" s="6"/>
      <c r="AD5" s="24">
        <f t="shared" ref="AD5:AD7" si="10">0.4 * AE5 + 0.4 * AF5 + 0.2 * AI5</f>
        <v>19962.400000000001</v>
      </c>
      <c r="AE5" s="5">
        <v>37680</v>
      </c>
      <c r="AF5">
        <v>12226</v>
      </c>
      <c r="AG5">
        <v>12767</v>
      </c>
      <c r="AH5">
        <v>0</v>
      </c>
      <c r="AI5">
        <v>0</v>
      </c>
      <c r="AJ5" s="45">
        <f t="shared" si="2"/>
        <v>0.1852347678443152</v>
      </c>
      <c r="AL5" s="46"/>
      <c r="AM5" s="6"/>
      <c r="AN5" s="6"/>
      <c r="AP5" s="24">
        <f t="shared" ref="AP5:AP7" si="11">0.4 * AQ5 + 0.4 * AR5 + 0.2 * AU5</f>
        <v>26652</v>
      </c>
      <c r="AQ5">
        <v>44018</v>
      </c>
      <c r="AR5">
        <v>22612</v>
      </c>
      <c r="AS5">
        <v>16083</v>
      </c>
      <c r="AT5">
        <v>0</v>
      </c>
      <c r="AU5">
        <v>0</v>
      </c>
      <c r="AV5" s="45">
        <f t="shared" si="3"/>
        <v>7.7734407441242465E-2</v>
      </c>
      <c r="AX5" s="46"/>
      <c r="AY5" s="6"/>
      <c r="AZ5" s="6"/>
      <c r="BB5" s="24">
        <f t="shared" ref="BB5:BB7" si="12">0.4 * BC5 + 0.4 * BD5 + 0.2 * BG5</f>
        <v>26729.600000000002</v>
      </c>
      <c r="BC5" s="5">
        <v>52168</v>
      </c>
      <c r="BD5">
        <v>14656</v>
      </c>
      <c r="BE5">
        <v>0</v>
      </c>
      <c r="BF5">
        <v>0</v>
      </c>
      <c r="BG5">
        <v>0</v>
      </c>
      <c r="BH5" s="45">
        <f t="shared" si="4"/>
        <v>5.3269862858438044E-2</v>
      </c>
      <c r="BJ5" s="46"/>
      <c r="BK5" s="6"/>
      <c r="BL5" s="6"/>
      <c r="BN5" s="24">
        <f t="shared" ref="BN5:BN7" si="13">0.4 * BO5 + 0.4 * BP5 + 0.2 * BS5</f>
        <v>38260.800000000003</v>
      </c>
      <c r="BO5" s="5">
        <v>80809</v>
      </c>
      <c r="BP5">
        <v>14843</v>
      </c>
      <c r="BQ5">
        <v>376</v>
      </c>
      <c r="BR5">
        <v>0</v>
      </c>
      <c r="BS5">
        <v>0</v>
      </c>
      <c r="BT5" s="45">
        <f t="shared" si="5"/>
        <v>6.3603167921369663E-2</v>
      </c>
      <c r="BV5" s="46"/>
      <c r="BW5" s="6"/>
      <c r="BX5" s="6"/>
      <c r="BZ5" s="24">
        <f t="shared" ref="BZ5:BZ7" si="14">0.4 * CA5 + 0.4 * CB5 + 0.2 * CE5</f>
        <v>20584.400000000001</v>
      </c>
      <c r="CA5" s="5">
        <v>36723</v>
      </c>
      <c r="CB5">
        <v>14738</v>
      </c>
      <c r="CC5">
        <v>11299</v>
      </c>
      <c r="CD5">
        <v>0</v>
      </c>
      <c r="CE5">
        <v>0</v>
      </c>
      <c r="CF5" s="45">
        <f t="shared" si="6"/>
        <v>3.5859484777517499E-2</v>
      </c>
      <c r="CH5" s="46"/>
      <c r="CI5" s="6"/>
      <c r="CJ5" s="6"/>
      <c r="CL5" s="24">
        <f t="shared" ref="CL5:CL7" si="15">0.4 * CM5 + 0.4 * CN5 + 0.2 * CQ5</f>
        <v>15687.2</v>
      </c>
      <c r="CM5" s="5">
        <v>23097</v>
      </c>
      <c r="CN5">
        <v>16121</v>
      </c>
      <c r="CO5">
        <v>8337</v>
      </c>
      <c r="CP5">
        <v>0</v>
      </c>
      <c r="CQ5" s="6">
        <v>0</v>
      </c>
      <c r="CR5" s="45">
        <f t="shared" si="7"/>
        <v>0.15383619573660134</v>
      </c>
      <c r="CT5" s="46"/>
      <c r="CU5" s="6"/>
    </row>
    <row r="6" spans="1:207" hidden="1" x14ac:dyDescent="0.3">
      <c r="A6" s="14" t="s">
        <v>25</v>
      </c>
      <c r="B6" s="23"/>
      <c r="C6" s="23"/>
      <c r="D6" s="24">
        <f t="shared" si="8"/>
        <v>12798</v>
      </c>
      <c r="E6" s="5">
        <v>21632</v>
      </c>
      <c r="F6">
        <v>10363</v>
      </c>
      <c r="G6">
        <v>0</v>
      </c>
      <c r="H6">
        <v>0</v>
      </c>
      <c r="I6" s="6">
        <v>0</v>
      </c>
      <c r="L6" s="45">
        <f>($B$8-D6)/$B$8</f>
        <v>5.4381557558740946E-2</v>
      </c>
      <c r="N6" s="46"/>
      <c r="O6" s="6"/>
      <c r="R6" s="24">
        <f t="shared" si="9"/>
        <v>38395.800000000003</v>
      </c>
      <c r="S6" s="5">
        <v>75667</v>
      </c>
      <c r="T6">
        <v>20241</v>
      </c>
      <c r="U6">
        <v>677</v>
      </c>
      <c r="V6">
        <v>0</v>
      </c>
      <c r="W6" s="6">
        <v>163</v>
      </c>
      <c r="X6" s="45">
        <f t="shared" si="1"/>
        <v>0.26935284983558638</v>
      </c>
      <c r="Z6" s="46"/>
      <c r="AA6" s="6"/>
      <c r="AB6" s="6"/>
      <c r="AD6" s="24">
        <f t="shared" si="10"/>
        <v>19962.400000000001</v>
      </c>
      <c r="AE6" s="5">
        <v>37680</v>
      </c>
      <c r="AF6">
        <v>12226</v>
      </c>
      <c r="AG6">
        <v>12899</v>
      </c>
      <c r="AH6">
        <v>0</v>
      </c>
      <c r="AI6">
        <v>0</v>
      </c>
      <c r="AJ6" s="45">
        <f t="shared" si="2"/>
        <v>0.1852347678443152</v>
      </c>
      <c r="AL6" s="46"/>
      <c r="AM6" s="6"/>
      <c r="AN6" s="6"/>
      <c r="AP6" s="24">
        <f t="shared" si="11"/>
        <v>26636.800000000003</v>
      </c>
      <c r="AQ6">
        <v>43986</v>
      </c>
      <c r="AR6">
        <v>22606</v>
      </c>
      <c r="AS6">
        <v>0</v>
      </c>
      <c r="AT6">
        <v>0</v>
      </c>
      <c r="AU6">
        <v>0</v>
      </c>
      <c r="AV6" s="45">
        <f t="shared" si="3"/>
        <v>7.8260388118373284E-2</v>
      </c>
      <c r="AX6" s="46"/>
      <c r="AY6" s="6"/>
      <c r="AZ6" s="6"/>
      <c r="BB6" s="24">
        <f t="shared" si="12"/>
        <v>26816.000000000004</v>
      </c>
      <c r="BC6" s="5">
        <v>52372</v>
      </c>
      <c r="BD6">
        <v>14668</v>
      </c>
      <c r="BE6">
        <v>0</v>
      </c>
      <c r="BF6">
        <v>0</v>
      </c>
      <c r="BG6">
        <v>0</v>
      </c>
      <c r="BH6" s="45">
        <f t="shared" si="4"/>
        <v>5.0209679247421334E-2</v>
      </c>
      <c r="BJ6" s="46"/>
      <c r="BK6" s="6"/>
      <c r="BL6" s="6"/>
      <c r="BN6" s="24">
        <f t="shared" si="13"/>
        <v>38202</v>
      </c>
      <c r="BO6" s="5">
        <v>80673</v>
      </c>
      <c r="BP6">
        <v>14832</v>
      </c>
      <c r="BQ6">
        <v>12211</v>
      </c>
      <c r="BR6">
        <v>0</v>
      </c>
      <c r="BS6">
        <v>0</v>
      </c>
      <c r="BT6" s="45">
        <f t="shared" si="5"/>
        <v>6.5042242214803828E-2</v>
      </c>
      <c r="BV6" s="46"/>
      <c r="BW6" s="6"/>
      <c r="BX6" s="6"/>
      <c r="BZ6" s="24">
        <f t="shared" si="14"/>
        <v>20584.400000000001</v>
      </c>
      <c r="CA6" s="5">
        <v>36723</v>
      </c>
      <c r="CB6">
        <v>14738</v>
      </c>
      <c r="CC6">
        <v>11318</v>
      </c>
      <c r="CD6">
        <v>0</v>
      </c>
      <c r="CE6">
        <v>0</v>
      </c>
      <c r="CF6" s="45">
        <f>($BX$8-BZ6)/$BX$8</f>
        <v>3.5859484777517499E-2</v>
      </c>
      <c r="CH6" s="46"/>
      <c r="CI6" s="6"/>
      <c r="CJ6" s="6"/>
      <c r="CL6" s="24">
        <f t="shared" si="15"/>
        <v>15558.400000000001</v>
      </c>
      <c r="CM6" s="5">
        <v>22757</v>
      </c>
      <c r="CN6">
        <v>16139</v>
      </c>
      <c r="CO6">
        <v>9685</v>
      </c>
      <c r="CP6">
        <v>0</v>
      </c>
      <c r="CQ6" s="6">
        <v>0</v>
      </c>
      <c r="CR6" s="45">
        <f t="shared" si="7"/>
        <v>0.16078363683438332</v>
      </c>
      <c r="CT6" s="46"/>
      <c r="CU6" s="6"/>
    </row>
    <row r="7" spans="1:207" hidden="1" x14ac:dyDescent="0.3">
      <c r="A7" s="14" t="s">
        <v>25</v>
      </c>
      <c r="B7" s="23"/>
      <c r="C7" s="23"/>
      <c r="D7" s="24">
        <f>0.4 * E7 + 0.4 * F7 + 0.2 * I7</f>
        <v>12798</v>
      </c>
      <c r="E7" s="5">
        <v>21632</v>
      </c>
      <c r="F7">
        <v>10363</v>
      </c>
      <c r="G7">
        <v>0</v>
      </c>
      <c r="H7">
        <v>0</v>
      </c>
      <c r="I7" s="6">
        <v>0</v>
      </c>
      <c r="L7" s="45">
        <f t="shared" si="0"/>
        <v>5.4381557558740946E-2</v>
      </c>
      <c r="N7" s="46"/>
      <c r="O7" s="6"/>
      <c r="R7" s="24">
        <f>0.4 * S7 + 0.4 * T7 + 0.2 * W7</f>
        <v>38770.800000000003</v>
      </c>
      <c r="S7" s="5">
        <v>76214</v>
      </c>
      <c r="T7">
        <v>20400</v>
      </c>
      <c r="U7">
        <v>2580</v>
      </c>
      <c r="V7">
        <v>0</v>
      </c>
      <c r="W7" s="6">
        <v>626</v>
      </c>
      <c r="X7" s="45">
        <f>($P$8-R7)/$P$8</f>
        <v>0.26221684325904271</v>
      </c>
      <c r="Z7" s="46"/>
      <c r="AA7" s="6"/>
      <c r="AB7" s="6"/>
      <c r="AD7" s="24">
        <f t="shared" si="10"/>
        <v>19962.400000000001</v>
      </c>
      <c r="AE7" s="5">
        <v>37680</v>
      </c>
      <c r="AF7">
        <v>12226</v>
      </c>
      <c r="AG7">
        <v>12995</v>
      </c>
      <c r="AH7">
        <v>0</v>
      </c>
      <c r="AI7">
        <v>0</v>
      </c>
      <c r="AJ7" s="45">
        <f>($AB$8-AD7)/$AB$8</f>
        <v>0.1852347678443152</v>
      </c>
      <c r="AL7" s="46"/>
      <c r="AM7" s="6"/>
      <c r="AN7" s="6"/>
      <c r="AP7" s="24">
        <f t="shared" si="11"/>
        <v>26636.800000000003</v>
      </c>
      <c r="AQ7">
        <v>43986</v>
      </c>
      <c r="AR7">
        <v>22606</v>
      </c>
      <c r="AS7">
        <v>0</v>
      </c>
      <c r="AT7">
        <v>0</v>
      </c>
      <c r="AU7">
        <v>0</v>
      </c>
      <c r="AV7" s="45">
        <f t="shared" si="3"/>
        <v>7.8260388118373284E-2</v>
      </c>
      <c r="AX7" s="46"/>
      <c r="AY7" s="6"/>
      <c r="AZ7" s="6"/>
      <c r="BB7" s="24">
        <f t="shared" si="12"/>
        <v>26586</v>
      </c>
      <c r="BC7" s="5">
        <v>51740</v>
      </c>
      <c r="BD7">
        <v>14725</v>
      </c>
      <c r="BE7">
        <v>0</v>
      </c>
      <c r="BF7">
        <v>0</v>
      </c>
      <c r="BG7">
        <v>0</v>
      </c>
      <c r="BH7" s="45">
        <f>($AZ$8-BB7)/$AZ$8</f>
        <v>5.8356001360081559E-2</v>
      </c>
      <c r="BJ7" s="46"/>
      <c r="BK7" s="6"/>
      <c r="BL7" s="6"/>
      <c r="BN7" s="24">
        <f t="shared" si="13"/>
        <v>38189.200000000004</v>
      </c>
      <c r="BO7" s="5">
        <v>80641</v>
      </c>
      <c r="BP7">
        <v>14832</v>
      </c>
      <c r="BQ7">
        <v>12209</v>
      </c>
      <c r="BR7">
        <v>0</v>
      </c>
      <c r="BS7">
        <v>0</v>
      </c>
      <c r="BT7" s="45">
        <f t="shared" si="5"/>
        <v>6.5355510088204352E-2</v>
      </c>
      <c r="BV7" s="46"/>
      <c r="BW7" s="6"/>
      <c r="BX7" s="6"/>
      <c r="BZ7" s="24">
        <f t="shared" si="14"/>
        <v>20602</v>
      </c>
      <c r="CA7" s="5">
        <v>36765</v>
      </c>
      <c r="CB7">
        <v>14740</v>
      </c>
      <c r="CC7">
        <v>11292</v>
      </c>
      <c r="CD7">
        <v>0</v>
      </c>
      <c r="CE7">
        <v>0</v>
      </c>
      <c r="CF7" s="45">
        <f t="shared" si="6"/>
        <v>3.5035128805620611E-2</v>
      </c>
      <c r="CH7" s="46"/>
      <c r="CI7" s="6"/>
      <c r="CJ7" s="6"/>
      <c r="CL7" s="24">
        <f t="shared" si="15"/>
        <v>15760.800000000001</v>
      </c>
      <c r="CM7" s="5">
        <v>23222</v>
      </c>
      <c r="CN7">
        <v>16141</v>
      </c>
      <c r="CO7">
        <v>9229</v>
      </c>
      <c r="CP7">
        <v>0</v>
      </c>
      <c r="CQ7" s="6">
        <v>78</v>
      </c>
      <c r="CR7" s="45">
        <f t="shared" si="7"/>
        <v>0.14986622939501162</v>
      </c>
      <c r="CT7" s="46"/>
      <c r="CU7" s="6"/>
    </row>
    <row r="8" spans="1:207" s="4" customFormat="1" x14ac:dyDescent="0.3">
      <c r="A8" s="120" t="s">
        <v>25</v>
      </c>
      <c r="B8" s="121" t="s">
        <v>41</v>
      </c>
      <c r="C8" s="121">
        <v>22829</v>
      </c>
      <c r="D8" s="122">
        <v>12574.720000000001</v>
      </c>
      <c r="E8" s="123">
        <v>21019</v>
      </c>
      <c r="F8" s="123">
        <v>10417.799999999999</v>
      </c>
      <c r="G8" s="123">
        <v>0</v>
      </c>
      <c r="H8" s="123">
        <v>0</v>
      </c>
      <c r="I8" s="123">
        <v>0</v>
      </c>
      <c r="J8" s="124">
        <v>0.11352885788941877</v>
      </c>
      <c r="K8" s="125">
        <v>4.5454238737765735E-3</v>
      </c>
      <c r="L8" s="124">
        <v>7.0879267031180637E-2</v>
      </c>
      <c r="M8" s="124">
        <v>1.5247507279438893E-2</v>
      </c>
      <c r="N8" s="81">
        <v>7.928511980375838E-2</v>
      </c>
      <c r="O8" s="124" t="e">
        <v>#DIV/0!</v>
      </c>
      <c r="P8" s="21">
        <v>52550.400000000001</v>
      </c>
      <c r="Q8" s="126">
        <v>81057</v>
      </c>
      <c r="R8" s="127">
        <v>38666.959999999999</v>
      </c>
      <c r="S8" s="21">
        <v>76009.399999999994</v>
      </c>
      <c r="T8" s="21">
        <v>20266</v>
      </c>
      <c r="U8" s="21">
        <v>1595.8</v>
      </c>
      <c r="V8" s="21">
        <v>0</v>
      </c>
      <c r="W8" s="21">
        <v>784</v>
      </c>
      <c r="X8" s="124">
        <v>0.26419285105346491</v>
      </c>
      <c r="Y8" s="125">
        <v>6.9046275643604603E-3</v>
      </c>
      <c r="Z8" s="81">
        <v>6.2272228185104382E-2</v>
      </c>
      <c r="AA8" s="124" t="e">
        <v>#DIV/0!</v>
      </c>
      <c r="AB8" s="21">
        <v>24500.799999999999</v>
      </c>
      <c r="AC8" s="21">
        <v>48120</v>
      </c>
      <c r="AD8" s="127">
        <v>19976.160000000003</v>
      </c>
      <c r="AE8" s="21">
        <v>37714.400000000001</v>
      </c>
      <c r="AF8" s="21">
        <v>12226</v>
      </c>
      <c r="AG8" s="21">
        <v>12722.2</v>
      </c>
      <c r="AH8" s="21">
        <v>0</v>
      </c>
      <c r="AI8" s="21">
        <v>0</v>
      </c>
      <c r="AJ8" s="124">
        <v>0.1846731535296805</v>
      </c>
      <c r="AK8" s="124">
        <v>1.2558077846599599E-3</v>
      </c>
      <c r="AL8" s="81">
        <v>0.21624272651704071</v>
      </c>
      <c r="AM8" s="124" t="e">
        <v>#DIV/0!</v>
      </c>
      <c r="AN8" s="21">
        <v>28898.400000000001</v>
      </c>
      <c r="AO8" s="21">
        <v>48676</v>
      </c>
      <c r="AP8" s="127">
        <v>26669.680000000004</v>
      </c>
      <c r="AQ8" s="21">
        <v>44053</v>
      </c>
      <c r="AR8" s="21">
        <v>22621.200000000001</v>
      </c>
      <c r="AS8" s="21">
        <v>9441.6</v>
      </c>
      <c r="AT8" s="21">
        <v>0</v>
      </c>
      <c r="AU8" s="21">
        <v>0</v>
      </c>
      <c r="AV8" s="124">
        <v>7.7122608864158476E-2</v>
      </c>
      <c r="AW8" s="124">
        <v>1.8477987342939732E-3</v>
      </c>
      <c r="AX8" s="81">
        <v>9.4974936313583697E-2</v>
      </c>
      <c r="AY8" s="124" t="e">
        <v>#DIV/0!</v>
      </c>
      <c r="AZ8" s="21">
        <v>28233.599999999999</v>
      </c>
      <c r="BA8" s="21">
        <v>55474</v>
      </c>
      <c r="BB8" s="127">
        <v>26682.080000000005</v>
      </c>
      <c r="BC8" s="21">
        <v>52022</v>
      </c>
      <c r="BD8" s="21">
        <v>14683.2</v>
      </c>
      <c r="BE8" s="21">
        <v>0</v>
      </c>
      <c r="BF8" s="21">
        <v>0</v>
      </c>
      <c r="BG8" s="21">
        <v>0</v>
      </c>
      <c r="BH8" s="124">
        <v>5.4952963844497098E-2</v>
      </c>
      <c r="BI8" s="124">
        <v>3.4870141396339195E-3</v>
      </c>
      <c r="BJ8" s="81">
        <v>6.2227349749432163E-2</v>
      </c>
      <c r="BK8" s="124" t="e">
        <v>#DIV/0!</v>
      </c>
      <c r="BL8" s="21">
        <v>40859.599999999999</v>
      </c>
      <c r="BM8" s="21">
        <v>86423</v>
      </c>
      <c r="BN8" s="127">
        <v>38208.560000000005</v>
      </c>
      <c r="BO8" s="21">
        <v>80687.199999999997</v>
      </c>
      <c r="BP8" s="21">
        <v>14834.2</v>
      </c>
      <c r="BQ8" s="21">
        <v>9827.2000000000007</v>
      </c>
      <c r="BR8" s="21">
        <v>0</v>
      </c>
      <c r="BS8" s="21">
        <v>0</v>
      </c>
      <c r="BT8" s="124">
        <v>6.4881692429685889E-2</v>
      </c>
      <c r="BU8" s="124">
        <v>7.3221522787661399E-4</v>
      </c>
      <c r="BV8" s="81">
        <v>6.6368906425372909E-2</v>
      </c>
      <c r="BW8" s="124" t="e">
        <v>#DIV/0!</v>
      </c>
      <c r="BX8" s="21">
        <v>21350</v>
      </c>
      <c r="BY8" s="21">
        <v>38534</v>
      </c>
      <c r="BZ8" s="127">
        <v>20570.239999999998</v>
      </c>
      <c r="CA8" s="21">
        <v>36689.199999999997</v>
      </c>
      <c r="CB8" s="21">
        <v>14736.4</v>
      </c>
      <c r="CC8" s="21">
        <v>11306.2</v>
      </c>
      <c r="CD8" s="21">
        <v>0</v>
      </c>
      <c r="CE8" s="21">
        <v>0</v>
      </c>
      <c r="CF8" s="124">
        <v>3.6522716627634753E-2</v>
      </c>
      <c r="CG8" s="124">
        <v>1.3638005956423407E-3</v>
      </c>
      <c r="CH8" s="81">
        <v>4.787460424560136E-2</v>
      </c>
      <c r="CI8" s="124" t="e">
        <v>#DIV/0!</v>
      </c>
      <c r="CJ8" s="21">
        <v>18539.2</v>
      </c>
      <c r="CK8" s="21">
        <v>28067</v>
      </c>
      <c r="CL8" s="127">
        <v>15665.52</v>
      </c>
      <c r="CM8" s="21">
        <v>23011</v>
      </c>
      <c r="CN8" s="21">
        <v>16137.2</v>
      </c>
      <c r="CO8" s="21">
        <v>9233</v>
      </c>
      <c r="CP8" s="21">
        <v>0</v>
      </c>
      <c r="CQ8" s="21">
        <v>31.2</v>
      </c>
      <c r="CR8" s="124">
        <v>0.1550056097350479</v>
      </c>
      <c r="CS8" s="128">
        <v>5.524619664306429E-3</v>
      </c>
      <c r="CT8" s="73">
        <v>0.18014037838030428</v>
      </c>
      <c r="CU8" s="27" t="e">
        <v>#DIV/0!</v>
      </c>
      <c r="CV8"/>
      <c r="CW8" s="27">
        <v>0.11352885788941877</v>
      </c>
      <c r="CX8" s="27">
        <v>4.5454238737765735E-3</v>
      </c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GV8" s="4" t="e">
        <v>#DIV/0!</v>
      </c>
      <c r="GW8" s="4" t="e">
        <v>#DIV/0!</v>
      </c>
      <c r="GX8" s="4" t="e">
        <v>#DIV/0!</v>
      </c>
      <c r="GY8" s="4" t="e">
        <v>#DIV/0!</v>
      </c>
    </row>
    <row r="9" spans="1:207" hidden="1" x14ac:dyDescent="0.3">
      <c r="A9" s="14" t="s">
        <v>26</v>
      </c>
      <c r="B9" s="23"/>
      <c r="C9" s="23"/>
      <c r="D9" s="24">
        <v>12358.400000000001</v>
      </c>
      <c r="E9" s="5">
        <v>20587</v>
      </c>
      <c r="F9">
        <v>10349</v>
      </c>
      <c r="G9">
        <v>0</v>
      </c>
      <c r="H9">
        <v>0</v>
      </c>
      <c r="I9">
        <v>0</v>
      </c>
      <c r="J9" s="27">
        <v>0.11546906304055085</v>
      </c>
      <c r="K9" s="84">
        <v>0</v>
      </c>
      <c r="L9" s="27">
        <v>8.6869463059974353E-2</v>
      </c>
      <c r="N9" s="73"/>
      <c r="R9" s="49">
        <v>39050.400000000001</v>
      </c>
      <c r="S9">
        <v>76856</v>
      </c>
      <c r="T9">
        <v>20504</v>
      </c>
      <c r="U9">
        <v>2446</v>
      </c>
      <c r="V9">
        <v>0</v>
      </c>
      <c r="W9">
        <v>532</v>
      </c>
      <c r="X9" s="27">
        <v>0.25691037726873117</v>
      </c>
      <c r="Z9" s="73"/>
      <c r="AD9" s="49">
        <v>19962.400000000001</v>
      </c>
      <c r="AE9">
        <v>37680</v>
      </c>
      <c r="AF9">
        <v>12226</v>
      </c>
      <c r="AG9">
        <v>11669</v>
      </c>
      <c r="AH9">
        <v>0</v>
      </c>
      <c r="AI9">
        <v>0</v>
      </c>
      <c r="AJ9" s="27">
        <v>0.18526802112497848</v>
      </c>
      <c r="AL9" s="73"/>
      <c r="AP9" s="49">
        <v>26636.800000000003</v>
      </c>
      <c r="AQ9">
        <v>43986</v>
      </c>
      <c r="AR9">
        <v>22606</v>
      </c>
      <c r="AS9">
        <v>0</v>
      </c>
      <c r="AT9">
        <v>0</v>
      </c>
      <c r="AU9">
        <v>0</v>
      </c>
      <c r="AV9" s="27">
        <v>7.8292282884765724E-2</v>
      </c>
      <c r="AX9" s="73"/>
      <c r="BB9" s="49">
        <v>26586</v>
      </c>
      <c r="BC9">
        <v>51740</v>
      </c>
      <c r="BD9">
        <v>14725</v>
      </c>
      <c r="BE9">
        <v>0</v>
      </c>
      <c r="BF9">
        <v>0</v>
      </c>
      <c r="BG9">
        <v>0</v>
      </c>
      <c r="BH9" s="27">
        <v>5.8389352071571712E-2</v>
      </c>
      <c r="BJ9" s="73"/>
      <c r="BN9" s="49">
        <v>38189.200000000004</v>
      </c>
      <c r="BO9">
        <v>80641</v>
      </c>
      <c r="BP9">
        <v>14832</v>
      </c>
      <c r="BQ9">
        <v>12039</v>
      </c>
      <c r="BR9">
        <v>0</v>
      </c>
      <c r="BS9">
        <v>0</v>
      </c>
      <c r="BT9" s="27">
        <v>6.5378384066802603E-2</v>
      </c>
      <c r="BV9" s="73"/>
      <c r="BZ9" s="49">
        <v>20604.400000000001</v>
      </c>
      <c r="CA9">
        <v>36769</v>
      </c>
      <c r="CB9">
        <v>14742</v>
      </c>
      <c r="CC9">
        <v>11290</v>
      </c>
      <c r="CD9">
        <v>0</v>
      </c>
      <c r="CE9">
        <v>0</v>
      </c>
      <c r="CF9" s="27">
        <v>3.4967917193574005E-2</v>
      </c>
      <c r="CH9" s="73"/>
      <c r="CL9" s="49">
        <v>15616</v>
      </c>
      <c r="CM9">
        <v>22911</v>
      </c>
      <c r="CN9">
        <v>16129</v>
      </c>
      <c r="CO9">
        <v>7930</v>
      </c>
      <c r="CP9">
        <v>0</v>
      </c>
      <c r="CQ9">
        <v>0</v>
      </c>
      <c r="CR9" s="27">
        <v>0.15767670665400885</v>
      </c>
      <c r="CS9" s="6"/>
      <c r="CT9" s="73"/>
      <c r="CW9" s="27">
        <v>0.11546906304055085</v>
      </c>
      <c r="CX9" s="27">
        <v>0</v>
      </c>
    </row>
    <row r="10" spans="1:207" hidden="1" x14ac:dyDescent="0.3">
      <c r="A10" s="14" t="s">
        <v>26</v>
      </c>
      <c r="B10" s="23"/>
      <c r="C10" s="23"/>
      <c r="D10" s="24">
        <v>12600.400000000001</v>
      </c>
      <c r="E10" s="5">
        <v>20547</v>
      </c>
      <c r="F10">
        <v>10519</v>
      </c>
      <c r="G10">
        <v>0</v>
      </c>
      <c r="H10">
        <v>0</v>
      </c>
      <c r="I10">
        <v>0</v>
      </c>
      <c r="J10" s="27">
        <v>0.11412426873030436</v>
      </c>
      <c r="K10" s="84">
        <v>0</v>
      </c>
      <c r="L10" s="27">
        <v>6.8988702610443167E-2</v>
      </c>
      <c r="N10" s="73"/>
      <c r="R10" s="49">
        <v>39473.599999999999</v>
      </c>
      <c r="S10">
        <v>78236</v>
      </c>
      <c r="T10">
        <v>20379</v>
      </c>
      <c r="U10">
        <v>3281</v>
      </c>
      <c r="V10">
        <v>0</v>
      </c>
      <c r="W10">
        <v>138</v>
      </c>
      <c r="X10" s="27">
        <v>0.24885730922487323</v>
      </c>
      <c r="Z10" s="73"/>
      <c r="AD10" s="49">
        <v>19962.400000000001</v>
      </c>
      <c r="AE10">
        <v>37680</v>
      </c>
      <c r="AF10">
        <v>12226</v>
      </c>
      <c r="AG10">
        <v>11765</v>
      </c>
      <c r="AH10">
        <v>0</v>
      </c>
      <c r="AI10">
        <v>0</v>
      </c>
      <c r="AJ10" s="27">
        <v>0.18526802112497848</v>
      </c>
      <c r="AL10" s="73"/>
      <c r="AP10" s="49">
        <v>26333.200000000004</v>
      </c>
      <c r="AQ10">
        <v>43341</v>
      </c>
      <c r="AR10">
        <v>22492</v>
      </c>
      <c r="AS10">
        <v>19258</v>
      </c>
      <c r="AT10">
        <v>0</v>
      </c>
      <c r="AU10">
        <v>0</v>
      </c>
      <c r="AV10" s="27">
        <v>8.8797691301549408E-2</v>
      </c>
      <c r="AX10" s="73"/>
      <c r="BB10" s="49">
        <v>26685.600000000002</v>
      </c>
      <c r="BC10">
        <v>52046</v>
      </c>
      <c r="BD10">
        <v>14668</v>
      </c>
      <c r="BE10">
        <v>0</v>
      </c>
      <c r="BF10">
        <v>0</v>
      </c>
      <c r="BG10">
        <v>0</v>
      </c>
      <c r="BH10" s="27">
        <v>5.4861765351731435E-2</v>
      </c>
      <c r="BJ10" s="73"/>
      <c r="BN10" s="49">
        <v>38189.200000000004</v>
      </c>
      <c r="BO10">
        <v>80641</v>
      </c>
      <c r="BP10">
        <v>14832</v>
      </c>
      <c r="BQ10">
        <v>12185</v>
      </c>
      <c r="BR10">
        <v>0</v>
      </c>
      <c r="BS10">
        <v>0</v>
      </c>
      <c r="BT10" s="27">
        <v>6.5378384066802603E-2</v>
      </c>
      <c r="BV10" s="73"/>
      <c r="BZ10" s="49">
        <v>20504</v>
      </c>
      <c r="CA10">
        <v>36530</v>
      </c>
      <c r="CB10">
        <v>14730</v>
      </c>
      <c r="CC10">
        <v>11302</v>
      </c>
      <c r="CD10">
        <v>0</v>
      </c>
      <c r="CE10">
        <v>0</v>
      </c>
      <c r="CF10" s="27">
        <v>3.9670273055126222E-2</v>
      </c>
      <c r="CH10" s="73"/>
      <c r="CL10" s="49">
        <v>15551.2</v>
      </c>
      <c r="CM10">
        <v>22757</v>
      </c>
      <c r="CN10">
        <v>16121</v>
      </c>
      <c r="CO10">
        <v>8337</v>
      </c>
      <c r="CP10">
        <v>0</v>
      </c>
      <c r="CQ10">
        <v>0</v>
      </c>
      <c r="CR10" s="27">
        <v>0.16117200310693017</v>
      </c>
      <c r="CS10" s="6"/>
      <c r="CT10" s="73"/>
      <c r="CW10" s="27">
        <v>0.11412426873030436</v>
      </c>
      <c r="CX10" s="27">
        <v>0</v>
      </c>
    </row>
    <row r="11" spans="1:207" hidden="1" x14ac:dyDescent="0.3">
      <c r="A11" s="14" t="s">
        <v>26</v>
      </c>
      <c r="B11" s="23"/>
      <c r="C11" s="23"/>
      <c r="D11" s="24">
        <v>12428.800000000001</v>
      </c>
      <c r="E11" s="5">
        <v>20982</v>
      </c>
      <c r="F11">
        <v>10485</v>
      </c>
      <c r="G11">
        <v>0</v>
      </c>
      <c r="H11">
        <v>0</v>
      </c>
      <c r="I11">
        <v>0</v>
      </c>
      <c r="J11" s="27">
        <v>0.11420069712676531</v>
      </c>
      <c r="K11" s="84">
        <v>0</v>
      </c>
      <c r="L11" s="27">
        <v>8.1667787292838037E-2</v>
      </c>
      <c r="N11" s="73"/>
      <c r="R11" s="49">
        <v>39313.600000000006</v>
      </c>
      <c r="S11">
        <v>77474</v>
      </c>
      <c r="T11">
        <v>20683</v>
      </c>
      <c r="U11">
        <v>565</v>
      </c>
      <c r="V11">
        <v>0</v>
      </c>
      <c r="W11">
        <v>254</v>
      </c>
      <c r="X11" s="27">
        <v>0.25190194742670974</v>
      </c>
      <c r="Z11" s="73"/>
      <c r="AD11" s="49">
        <v>20025.2</v>
      </c>
      <c r="AE11">
        <v>37807</v>
      </c>
      <c r="AF11">
        <v>12256</v>
      </c>
      <c r="AG11">
        <v>11745</v>
      </c>
      <c r="AH11">
        <v>0</v>
      </c>
      <c r="AI11">
        <v>0</v>
      </c>
      <c r="AJ11" s="27">
        <v>0.18270494412655391</v>
      </c>
      <c r="AL11" s="73"/>
      <c r="AP11" s="49">
        <v>26536.400000000001</v>
      </c>
      <c r="AQ11">
        <v>43770</v>
      </c>
      <c r="AR11">
        <v>22571</v>
      </c>
      <c r="AS11">
        <v>0</v>
      </c>
      <c r="AT11">
        <v>0</v>
      </c>
      <c r="AU11">
        <v>0</v>
      </c>
      <c r="AV11" s="27">
        <v>8.1766403454742995E-2</v>
      </c>
      <c r="AX11" s="73"/>
      <c r="BB11" s="49">
        <v>26685.600000000002</v>
      </c>
      <c r="BC11">
        <v>52046</v>
      </c>
      <c r="BD11">
        <v>14668</v>
      </c>
      <c r="BE11">
        <v>0</v>
      </c>
      <c r="BF11">
        <v>0</v>
      </c>
      <c r="BG11">
        <v>0</v>
      </c>
      <c r="BH11" s="27">
        <v>5.4861765351731435E-2</v>
      </c>
      <c r="BJ11" s="73"/>
      <c r="BN11" s="49">
        <v>38260.800000000003</v>
      </c>
      <c r="BO11">
        <v>80809</v>
      </c>
      <c r="BP11">
        <v>14843</v>
      </c>
      <c r="BQ11">
        <v>12841</v>
      </c>
      <c r="BR11">
        <v>0</v>
      </c>
      <c r="BS11">
        <v>0</v>
      </c>
      <c r="BT11" s="27">
        <v>6.3626084785832704E-2</v>
      </c>
      <c r="BV11" s="73"/>
      <c r="BZ11" s="49">
        <v>20584.400000000001</v>
      </c>
      <c r="CA11">
        <v>36723</v>
      </c>
      <c r="CB11">
        <v>14738</v>
      </c>
      <c r="CC11">
        <v>11299</v>
      </c>
      <c r="CD11">
        <v>0</v>
      </c>
      <c r="CE11">
        <v>0</v>
      </c>
      <c r="CF11" s="27">
        <v>3.5904641468783596E-2</v>
      </c>
      <c r="CH11" s="73"/>
      <c r="CL11" s="49">
        <v>15551.2</v>
      </c>
      <c r="CM11">
        <v>22757</v>
      </c>
      <c r="CN11">
        <v>16121</v>
      </c>
      <c r="CO11">
        <v>10216</v>
      </c>
      <c r="CP11">
        <v>0</v>
      </c>
      <c r="CQ11">
        <v>0</v>
      </c>
      <c r="CR11" s="27">
        <v>0.16117200310693017</v>
      </c>
      <c r="CS11" s="6"/>
      <c r="CT11" s="73"/>
      <c r="CW11" s="27">
        <v>0.11420069712676531</v>
      </c>
      <c r="CX11" s="27">
        <v>0</v>
      </c>
    </row>
    <row r="12" spans="1:207" hidden="1" x14ac:dyDescent="0.3">
      <c r="A12" s="14" t="s">
        <v>26</v>
      </c>
      <c r="B12" s="23"/>
      <c r="C12" s="23"/>
      <c r="D12" s="24">
        <v>12374.400000000001</v>
      </c>
      <c r="E12" s="5">
        <v>20587</v>
      </c>
      <c r="F12">
        <v>10349</v>
      </c>
      <c r="G12">
        <v>0</v>
      </c>
      <c r="H12">
        <v>0</v>
      </c>
      <c r="I12">
        <v>0</v>
      </c>
      <c r="J12" s="27">
        <v>0.11849317102395233</v>
      </c>
      <c r="K12" s="84">
        <v>0</v>
      </c>
      <c r="L12" s="27">
        <v>8.5687264021988813E-2</v>
      </c>
      <c r="N12" s="73"/>
      <c r="R12" s="49">
        <v>38334.200000000004</v>
      </c>
      <c r="S12">
        <v>75452</v>
      </c>
      <c r="T12">
        <v>20241</v>
      </c>
      <c r="U12">
        <v>1627</v>
      </c>
      <c r="V12">
        <v>0</v>
      </c>
      <c r="W12">
        <v>285</v>
      </c>
      <c r="X12" s="27">
        <v>0.27053893901970255</v>
      </c>
      <c r="Z12" s="73"/>
      <c r="AD12" s="49">
        <v>19962.400000000001</v>
      </c>
      <c r="AE12">
        <v>37680</v>
      </c>
      <c r="AF12">
        <v>12226</v>
      </c>
      <c r="AG12">
        <v>12671</v>
      </c>
      <c r="AH12">
        <v>0</v>
      </c>
      <c r="AI12">
        <v>0</v>
      </c>
      <c r="AJ12" s="27">
        <v>0.18526802112497848</v>
      </c>
      <c r="AL12" s="73"/>
      <c r="AP12" s="49">
        <v>26483.599999999999</v>
      </c>
      <c r="AQ12">
        <v>43645</v>
      </c>
      <c r="AR12">
        <v>22564</v>
      </c>
      <c r="AS12">
        <v>19371</v>
      </c>
      <c r="AT12">
        <v>0</v>
      </c>
      <c r="AU12">
        <v>0</v>
      </c>
      <c r="AV12" s="27">
        <v>8.3593431005488106E-2</v>
      </c>
      <c r="AX12" s="73"/>
      <c r="BB12" s="49">
        <v>26586</v>
      </c>
      <c r="BC12">
        <v>51740</v>
      </c>
      <c r="BD12">
        <v>14725</v>
      </c>
      <c r="BE12">
        <v>0</v>
      </c>
      <c r="BF12">
        <v>0</v>
      </c>
      <c r="BG12">
        <v>0</v>
      </c>
      <c r="BH12" s="27">
        <v>5.8389352071571712E-2</v>
      </c>
      <c r="BJ12" s="73"/>
      <c r="BN12" s="49">
        <v>38260.800000000003</v>
      </c>
      <c r="BO12">
        <v>80809</v>
      </c>
      <c r="BP12">
        <v>14843</v>
      </c>
      <c r="BQ12">
        <v>407</v>
      </c>
      <c r="BR12">
        <v>0</v>
      </c>
      <c r="BS12">
        <v>0</v>
      </c>
      <c r="BT12" s="27">
        <v>6.3626084785832704E-2</v>
      </c>
      <c r="BV12" s="73"/>
      <c r="BZ12" s="49">
        <v>20504</v>
      </c>
      <c r="CA12">
        <v>36530</v>
      </c>
      <c r="CB12">
        <v>14730</v>
      </c>
      <c r="CC12">
        <v>11302</v>
      </c>
      <c r="CD12">
        <v>0</v>
      </c>
      <c r="CE12">
        <v>0</v>
      </c>
      <c r="CF12" s="27">
        <v>3.9670273055126222E-2</v>
      </c>
      <c r="CH12" s="73"/>
      <c r="CL12" s="49">
        <v>15551.2</v>
      </c>
      <c r="CM12">
        <v>22757</v>
      </c>
      <c r="CN12">
        <v>16121</v>
      </c>
      <c r="CO12">
        <v>8337</v>
      </c>
      <c r="CP12">
        <v>0</v>
      </c>
      <c r="CQ12">
        <v>0</v>
      </c>
      <c r="CR12" s="27">
        <v>0.16117200310693017</v>
      </c>
      <c r="CS12" s="6"/>
      <c r="CT12" s="73"/>
      <c r="CW12" s="27">
        <v>0.11849317102395233</v>
      </c>
      <c r="CX12" s="27">
        <v>0</v>
      </c>
    </row>
    <row r="13" spans="1:207" hidden="1" x14ac:dyDescent="0.3">
      <c r="A13" s="14" t="s">
        <v>26</v>
      </c>
      <c r="B13" s="23"/>
      <c r="C13" s="23"/>
      <c r="D13" s="24">
        <v>12670.400000000001</v>
      </c>
      <c r="E13" s="5">
        <v>21185</v>
      </c>
      <c r="F13">
        <v>10491</v>
      </c>
      <c r="G13">
        <v>0</v>
      </c>
      <c r="H13">
        <v>0</v>
      </c>
      <c r="I13">
        <v>0</v>
      </c>
      <c r="J13" s="27">
        <v>0.11401985436125645</v>
      </c>
      <c r="K13" s="84">
        <v>0</v>
      </c>
      <c r="L13" s="27">
        <v>6.3816581819256465E-2</v>
      </c>
      <c r="N13" s="73"/>
      <c r="R13" s="49">
        <v>38477.599999999999</v>
      </c>
      <c r="S13">
        <v>75651</v>
      </c>
      <c r="T13">
        <v>20230</v>
      </c>
      <c r="U13">
        <v>2070</v>
      </c>
      <c r="V13">
        <v>0</v>
      </c>
      <c r="W13">
        <v>626</v>
      </c>
      <c r="X13" s="27">
        <v>0.26781018203130652</v>
      </c>
      <c r="Z13" s="73"/>
      <c r="AD13" s="49">
        <v>19962.400000000001</v>
      </c>
      <c r="AE13">
        <v>37680</v>
      </c>
      <c r="AF13">
        <v>12226</v>
      </c>
      <c r="AG13">
        <v>12671</v>
      </c>
      <c r="AH13">
        <v>0</v>
      </c>
      <c r="AI13">
        <v>0</v>
      </c>
      <c r="AJ13" s="27">
        <v>0.18526802112497848</v>
      </c>
      <c r="AL13" s="73"/>
      <c r="AP13" s="49">
        <v>26738.400000000001</v>
      </c>
      <c r="AQ13">
        <v>44267</v>
      </c>
      <c r="AR13">
        <v>22579</v>
      </c>
      <c r="AS13">
        <v>13201</v>
      </c>
      <c r="AT13">
        <v>0</v>
      </c>
      <c r="AU13">
        <v>0</v>
      </c>
      <c r="AV13" s="27">
        <v>7.477663896136251E-2</v>
      </c>
      <c r="AX13" s="73"/>
      <c r="BB13" s="49">
        <v>26702.400000000001</v>
      </c>
      <c r="BC13">
        <v>52113</v>
      </c>
      <c r="BD13">
        <v>14643</v>
      </c>
      <c r="BE13">
        <v>0</v>
      </c>
      <c r="BF13">
        <v>0</v>
      </c>
      <c r="BG13">
        <v>0</v>
      </c>
      <c r="BH13" s="27">
        <v>5.4266750724288541E-2</v>
      </c>
      <c r="BJ13" s="73"/>
      <c r="BN13" s="49">
        <v>38189.200000000004</v>
      </c>
      <c r="BO13">
        <v>80641</v>
      </c>
      <c r="BP13">
        <v>14832</v>
      </c>
      <c r="BQ13">
        <v>11982</v>
      </c>
      <c r="BR13">
        <v>0</v>
      </c>
      <c r="BS13">
        <v>0</v>
      </c>
      <c r="BT13" s="27">
        <v>6.5378384066802603E-2</v>
      </c>
      <c r="BV13" s="73"/>
      <c r="BZ13" s="49">
        <v>20504</v>
      </c>
      <c r="CA13">
        <v>36530</v>
      </c>
      <c r="CB13">
        <v>14730</v>
      </c>
      <c r="CC13">
        <v>11302</v>
      </c>
      <c r="CD13">
        <v>0</v>
      </c>
      <c r="CE13">
        <v>0</v>
      </c>
      <c r="CF13" s="27">
        <v>3.9670273055126222E-2</v>
      </c>
      <c r="CH13" s="73"/>
      <c r="CL13" s="49">
        <v>15551.2</v>
      </c>
      <c r="CM13">
        <v>22757</v>
      </c>
      <c r="CN13">
        <v>16121</v>
      </c>
      <c r="CO13">
        <v>10216</v>
      </c>
      <c r="CP13">
        <v>0</v>
      </c>
      <c r="CQ13">
        <v>0</v>
      </c>
      <c r="CR13" s="27">
        <v>0.16117200310693017</v>
      </c>
      <c r="CS13" s="6"/>
      <c r="CT13" s="73"/>
      <c r="CW13" s="27">
        <v>0.11401985436125645</v>
      </c>
      <c r="CX13" s="27">
        <v>0</v>
      </c>
    </row>
    <row r="14" spans="1:207" s="4" customFormat="1" x14ac:dyDescent="0.3">
      <c r="A14" s="15" t="s">
        <v>26</v>
      </c>
      <c r="B14" s="41" t="s">
        <v>42</v>
      </c>
      <c r="C14" s="41">
        <v>22829</v>
      </c>
      <c r="D14" s="32">
        <v>12486.480000000001</v>
      </c>
      <c r="E14" s="31">
        <v>20825.25</v>
      </c>
      <c r="F14" s="33">
        <v>10438.6</v>
      </c>
      <c r="G14" s="33">
        <v>0</v>
      </c>
      <c r="H14" s="33">
        <v>0</v>
      </c>
      <c r="I14" s="33">
        <v>0</v>
      </c>
      <c r="J14" s="27">
        <v>0.11458086229753076</v>
      </c>
      <c r="K14" s="84">
        <v>4.7375097136844622E-3</v>
      </c>
      <c r="L14" s="83">
        <v>7.7405959760900173E-2</v>
      </c>
      <c r="M14" s="85">
        <v>1.039016938800851E-2</v>
      </c>
      <c r="N14" s="73">
        <v>8.7772131937447984E-2</v>
      </c>
      <c r="O14" s="27" t="e">
        <v>#DIV/0!</v>
      </c>
      <c r="P14">
        <v>52551.4</v>
      </c>
      <c r="Q14" s="26">
        <v>81057</v>
      </c>
      <c r="R14" s="49">
        <v>38929.880000000005</v>
      </c>
      <c r="S14">
        <v>76733.8</v>
      </c>
      <c r="T14">
        <v>20407.400000000001</v>
      </c>
      <c r="U14">
        <v>1997.8</v>
      </c>
      <c r="V14">
        <v>0</v>
      </c>
      <c r="W14">
        <v>367</v>
      </c>
      <c r="X14" s="27">
        <v>0.25920375099426457</v>
      </c>
      <c r="Y14" s="27">
        <v>9.5940332816667993E-3</v>
      </c>
      <c r="Z14" s="73">
        <v>5.3335307252920745E-2</v>
      </c>
      <c r="AA14" s="27" t="e">
        <v>#DIV/0!</v>
      </c>
      <c r="AB14">
        <v>24501.8</v>
      </c>
      <c r="AC14">
        <v>48120</v>
      </c>
      <c r="AD14" s="49">
        <v>19974.96</v>
      </c>
      <c r="AE14">
        <v>37705.4</v>
      </c>
      <c r="AF14">
        <v>12232</v>
      </c>
      <c r="AG14">
        <v>12104.2</v>
      </c>
      <c r="AH14">
        <v>0</v>
      </c>
      <c r="AI14">
        <v>0</v>
      </c>
      <c r="AJ14" s="27">
        <v>0.18475540572529367</v>
      </c>
      <c r="AK14" s="27">
        <v>1.1462428800086888E-3</v>
      </c>
      <c r="AL14" s="73">
        <v>0.21642975893599331</v>
      </c>
      <c r="AM14" s="27" t="e">
        <v>#DIV/0!</v>
      </c>
      <c r="AN14">
        <v>28899.4</v>
      </c>
      <c r="AO14">
        <v>48676</v>
      </c>
      <c r="AP14" s="49">
        <v>26509.120000000003</v>
      </c>
      <c r="AQ14">
        <v>43710.2</v>
      </c>
      <c r="AR14">
        <v>22562.6</v>
      </c>
      <c r="AS14">
        <v>19324.2</v>
      </c>
      <c r="AT14">
        <v>0</v>
      </c>
      <c r="AU14">
        <v>0</v>
      </c>
      <c r="AV14" s="83">
        <v>8.2773844865646609E-2</v>
      </c>
      <c r="AW14" s="83">
        <v>5.2120965736130774E-3</v>
      </c>
      <c r="AX14" s="73">
        <v>0.10201742131645991</v>
      </c>
      <c r="AY14" s="27" t="e">
        <v>#DIV/0!</v>
      </c>
      <c r="AZ14">
        <v>28236.6</v>
      </c>
      <c r="BA14">
        <v>55474</v>
      </c>
      <c r="BB14" s="49">
        <v>26649.120000000003</v>
      </c>
      <c r="BC14">
        <v>51937</v>
      </c>
      <c r="BD14">
        <v>14685.8</v>
      </c>
      <c r="BE14">
        <v>0</v>
      </c>
      <c r="BF14">
        <v>0</v>
      </c>
      <c r="BG14">
        <v>0</v>
      </c>
      <c r="BH14" s="83">
        <v>5.6153797114178915E-2</v>
      </c>
      <c r="BI14" s="83">
        <v>2.0551793208252898E-3</v>
      </c>
      <c r="BJ14" s="73">
        <v>6.3759599091466279E-2</v>
      </c>
      <c r="BK14" s="27" t="e">
        <v>#DIV/0!</v>
      </c>
      <c r="BL14">
        <v>40860.6</v>
      </c>
      <c r="BM14">
        <v>86423</v>
      </c>
      <c r="BN14" s="49">
        <v>38217.840000000004</v>
      </c>
      <c r="BO14">
        <v>80708.2</v>
      </c>
      <c r="BP14">
        <v>14836.4</v>
      </c>
      <c r="BQ14">
        <v>9890.7999999999993</v>
      </c>
      <c r="BR14">
        <v>0</v>
      </c>
      <c r="BS14">
        <v>0</v>
      </c>
      <c r="BT14" s="27">
        <v>6.467746435441464E-2</v>
      </c>
      <c r="BU14" s="27">
        <v>9.5977384368729681E-4</v>
      </c>
      <c r="BV14" s="73">
        <v>6.6125915554887046E-2</v>
      </c>
      <c r="BW14" s="27" t="e">
        <v>#DIV/0!</v>
      </c>
      <c r="BX14">
        <v>21351</v>
      </c>
      <c r="BY14">
        <v>38534</v>
      </c>
      <c r="BZ14" s="49">
        <v>20540.16</v>
      </c>
      <c r="CA14">
        <v>36616.400000000001</v>
      </c>
      <c r="CB14">
        <v>14734</v>
      </c>
      <c r="CC14">
        <v>11299</v>
      </c>
      <c r="CD14">
        <v>0</v>
      </c>
      <c r="CE14">
        <v>0</v>
      </c>
      <c r="CF14" s="27">
        <v>3.7976675565547291E-2</v>
      </c>
      <c r="CG14" s="27">
        <v>2.3425824216660369E-3</v>
      </c>
      <c r="CH14" s="73">
        <v>4.9763844916177885E-2</v>
      </c>
      <c r="CI14" s="27" t="e">
        <v>#DIV/0!</v>
      </c>
      <c r="CJ14">
        <v>18539.2</v>
      </c>
      <c r="CK14">
        <v>28067</v>
      </c>
      <c r="CL14" s="49">
        <v>15555.36</v>
      </c>
      <c r="CM14">
        <v>22767</v>
      </c>
      <c r="CN14">
        <v>16121.4</v>
      </c>
      <c r="CO14">
        <v>9456.6</v>
      </c>
      <c r="CP14">
        <v>0</v>
      </c>
      <c r="CQ14">
        <v>0</v>
      </c>
      <c r="CR14" s="73">
        <v>0.1537</v>
      </c>
      <c r="CS14" s="74">
        <v>6.1999999999999998E-3</v>
      </c>
      <c r="CT14" s="73">
        <v>0.18883386183061959</v>
      </c>
      <c r="CU14" s="27" t="e">
        <v>#DIV/0!</v>
      </c>
      <c r="CV14"/>
      <c r="CW14" s="27">
        <v>0.11458086229753076</v>
      </c>
      <c r="CX14" s="27">
        <v>4.7375097136844622E-3</v>
      </c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GV14" s="4" t="e">
        <v>#DIV/0!</v>
      </c>
      <c r="GW14" s="4" t="e">
        <v>#DIV/0!</v>
      </c>
      <c r="GX14" s="4" t="e">
        <v>#DIV/0!</v>
      </c>
      <c r="GY14" s="4" t="e">
        <v>#DIV/0!</v>
      </c>
    </row>
    <row r="15" spans="1:207" hidden="1" x14ac:dyDescent="0.3">
      <c r="A15" s="14" t="s">
        <v>27</v>
      </c>
      <c r="B15" s="23"/>
      <c r="C15" s="23"/>
      <c r="D15" s="24">
        <v>12858</v>
      </c>
      <c r="E15" s="5">
        <v>21656</v>
      </c>
      <c r="F15">
        <v>10489</v>
      </c>
      <c r="G15">
        <v>0</v>
      </c>
      <c r="H15">
        <v>0</v>
      </c>
      <c r="I15">
        <v>0</v>
      </c>
      <c r="J15" s="27">
        <v>0.1125840670242238</v>
      </c>
      <c r="K15" s="27">
        <v>0</v>
      </c>
      <c r="L15" s="27">
        <v>4.996231768408925E-2</v>
      </c>
      <c r="N15" s="73"/>
      <c r="R15" s="49">
        <v>38410.800000000003</v>
      </c>
      <c r="S15">
        <v>75519</v>
      </c>
      <c r="T15">
        <v>20195</v>
      </c>
      <c r="U15">
        <v>2256</v>
      </c>
      <c r="V15">
        <v>0</v>
      </c>
      <c r="W15">
        <v>626</v>
      </c>
      <c r="X15" s="27">
        <v>0.26909522685928705</v>
      </c>
      <c r="Z15" s="73"/>
      <c r="AD15" s="49">
        <v>20047.2</v>
      </c>
      <c r="AE15">
        <v>37852</v>
      </c>
      <c r="AF15">
        <v>12266</v>
      </c>
      <c r="AG15">
        <v>12507</v>
      </c>
      <c r="AH15">
        <v>0</v>
      </c>
      <c r="AI15">
        <v>0</v>
      </c>
      <c r="AJ15" s="27">
        <v>0.18184044272491301</v>
      </c>
      <c r="AL15" s="73"/>
      <c r="AP15" s="49">
        <v>26677.600000000002</v>
      </c>
      <c r="AQ15">
        <v>44069</v>
      </c>
      <c r="AR15">
        <v>22625</v>
      </c>
      <c r="AS15">
        <v>15242</v>
      </c>
      <c r="AT15">
        <v>0</v>
      </c>
      <c r="AU15">
        <v>0</v>
      </c>
      <c r="AV15" s="27">
        <v>7.6912430277781593E-2</v>
      </c>
      <c r="AX15" s="73"/>
      <c r="BB15" s="49">
        <v>26650.400000000001</v>
      </c>
      <c r="BC15">
        <v>52008</v>
      </c>
      <c r="BD15">
        <v>14618</v>
      </c>
      <c r="BE15">
        <v>0</v>
      </c>
      <c r="BF15">
        <v>0</v>
      </c>
      <c r="BG15">
        <v>0</v>
      </c>
      <c r="BH15" s="27">
        <v>5.6141891796172107E-2</v>
      </c>
      <c r="BJ15" s="73"/>
      <c r="BN15" s="49">
        <v>38188.400000000001</v>
      </c>
      <c r="BO15">
        <v>80640</v>
      </c>
      <c r="BP15">
        <v>14831</v>
      </c>
      <c r="BQ15">
        <v>12193</v>
      </c>
      <c r="BR15">
        <v>0</v>
      </c>
      <c r="BS15">
        <v>0</v>
      </c>
      <c r="BT15" s="27">
        <v>6.5420835209585457E-2</v>
      </c>
      <c r="BV15" s="73"/>
      <c r="BZ15" s="49">
        <v>20495.2</v>
      </c>
      <c r="CA15">
        <v>36508</v>
      </c>
      <c r="CB15">
        <v>14730</v>
      </c>
      <c r="CC15">
        <v>11304</v>
      </c>
      <c r="CD15">
        <v>0</v>
      </c>
      <c r="CE15">
        <v>0</v>
      </c>
      <c r="CF15" s="27">
        <v>4.012738853503181E-2</v>
      </c>
      <c r="CH15" s="73"/>
      <c r="CL15" s="49">
        <v>15551.2</v>
      </c>
      <c r="CM15">
        <v>22757</v>
      </c>
      <c r="CN15">
        <v>16121</v>
      </c>
      <c r="CO15">
        <v>10216</v>
      </c>
      <c r="CP15">
        <v>0</v>
      </c>
      <c r="CQ15">
        <v>0</v>
      </c>
      <c r="CR15" s="27">
        <v>0.16117200310693017</v>
      </c>
      <c r="CS15" s="6"/>
      <c r="CT15" s="73"/>
      <c r="CW15" s="27">
        <v>0.1125840670242238</v>
      </c>
      <c r="CX15" s="27">
        <v>0</v>
      </c>
    </row>
    <row r="16" spans="1:207" hidden="1" x14ac:dyDescent="0.3">
      <c r="A16" s="14" t="s">
        <v>27</v>
      </c>
      <c r="B16" s="23"/>
      <c r="C16" s="23"/>
      <c r="D16" s="24">
        <v>12798</v>
      </c>
      <c r="E16" s="5">
        <v>21632</v>
      </c>
      <c r="F16">
        <v>10363</v>
      </c>
      <c r="G16">
        <v>0</v>
      </c>
      <c r="H16">
        <v>0</v>
      </c>
      <c r="I16">
        <v>0</v>
      </c>
      <c r="J16" s="27">
        <v>0.11189853595879115</v>
      </c>
      <c r="K16" s="27">
        <v>0</v>
      </c>
      <c r="L16" s="27">
        <v>5.4395531320654396E-2</v>
      </c>
      <c r="N16" s="73"/>
      <c r="R16" s="49">
        <v>39178.800000000003</v>
      </c>
      <c r="S16">
        <v>77237</v>
      </c>
      <c r="T16">
        <v>20524</v>
      </c>
      <c r="U16">
        <v>1124</v>
      </c>
      <c r="V16">
        <v>0</v>
      </c>
      <c r="W16">
        <v>372</v>
      </c>
      <c r="X16" s="27">
        <v>0.25448124157983265</v>
      </c>
      <c r="Z16" s="73"/>
      <c r="AD16" s="49">
        <v>19962.400000000001</v>
      </c>
      <c r="AE16">
        <v>37680</v>
      </c>
      <c r="AF16">
        <v>12226</v>
      </c>
      <c r="AG16">
        <v>12781</v>
      </c>
      <c r="AH16">
        <v>0</v>
      </c>
      <c r="AI16">
        <v>0</v>
      </c>
      <c r="AJ16" s="27">
        <v>0.18530127169139846</v>
      </c>
      <c r="AL16" s="73"/>
      <c r="AP16" s="49">
        <v>26636.800000000003</v>
      </c>
      <c r="AQ16">
        <v>43986</v>
      </c>
      <c r="AR16">
        <v>22606</v>
      </c>
      <c r="AS16">
        <v>0</v>
      </c>
      <c r="AT16">
        <v>0</v>
      </c>
      <c r="AU16">
        <v>0</v>
      </c>
      <c r="AV16" s="27">
        <v>7.8324175443938437E-2</v>
      </c>
      <c r="AX16" s="73"/>
      <c r="BB16" s="49">
        <v>26606.400000000001</v>
      </c>
      <c r="BC16">
        <v>51886</v>
      </c>
      <c r="BD16">
        <v>14630</v>
      </c>
      <c r="BE16">
        <v>0</v>
      </c>
      <c r="BF16">
        <v>0</v>
      </c>
      <c r="BG16">
        <v>0</v>
      </c>
      <c r="BH16" s="27">
        <v>5.7700208247743884E-2</v>
      </c>
      <c r="BJ16" s="73"/>
      <c r="BN16" s="49">
        <v>38260.800000000003</v>
      </c>
      <c r="BO16">
        <v>80809</v>
      </c>
      <c r="BP16">
        <v>14843</v>
      </c>
      <c r="BQ16">
        <v>13045</v>
      </c>
      <c r="BR16">
        <v>0</v>
      </c>
      <c r="BS16">
        <v>0</v>
      </c>
      <c r="BT16" s="27">
        <v>6.3649000528613553E-2</v>
      </c>
      <c r="BV16" s="73"/>
      <c r="BZ16" s="49">
        <v>20494.400000000001</v>
      </c>
      <c r="CA16">
        <v>36508</v>
      </c>
      <c r="CB16">
        <v>14728</v>
      </c>
      <c r="CC16">
        <v>11304</v>
      </c>
      <c r="CD16">
        <v>0</v>
      </c>
      <c r="CE16">
        <v>0</v>
      </c>
      <c r="CF16" s="27">
        <v>4.0164855751217615E-2</v>
      </c>
      <c r="CH16" s="73"/>
      <c r="CL16" s="49">
        <v>15551.2</v>
      </c>
      <c r="CM16">
        <v>22757</v>
      </c>
      <c r="CN16">
        <v>16121</v>
      </c>
      <c r="CO16">
        <v>10216</v>
      </c>
      <c r="CP16">
        <v>0</v>
      </c>
      <c r="CQ16">
        <v>0</v>
      </c>
      <c r="CR16" s="27">
        <v>0.16117200310693017</v>
      </c>
      <c r="CS16" s="6"/>
      <c r="CT16" s="73"/>
      <c r="CW16" s="27">
        <v>0.11189853595879115</v>
      </c>
      <c r="CX16" s="27">
        <v>0</v>
      </c>
    </row>
    <row r="17" spans="1:207" hidden="1" x14ac:dyDescent="0.3">
      <c r="A17" s="14" t="s">
        <v>27</v>
      </c>
      <c r="B17" s="23"/>
      <c r="C17" s="23"/>
      <c r="D17" s="24">
        <v>12814.4</v>
      </c>
      <c r="E17" s="5">
        <v>21666</v>
      </c>
      <c r="F17">
        <v>10370</v>
      </c>
      <c r="G17">
        <v>0</v>
      </c>
      <c r="H17">
        <v>0</v>
      </c>
      <c r="I17">
        <v>0</v>
      </c>
      <c r="J17" s="27">
        <v>0.1144373976601364</v>
      </c>
      <c r="K17" s="27">
        <v>0</v>
      </c>
      <c r="L17" s="27">
        <v>5.3183786259993281E-2</v>
      </c>
      <c r="N17" s="73"/>
      <c r="R17" s="49">
        <v>38108.800000000003</v>
      </c>
      <c r="S17">
        <v>74731</v>
      </c>
      <c r="T17">
        <v>20225</v>
      </c>
      <c r="U17">
        <v>1407</v>
      </c>
      <c r="V17">
        <v>0</v>
      </c>
      <c r="W17">
        <v>632</v>
      </c>
      <c r="X17" s="27">
        <v>0.27484187211240585</v>
      </c>
      <c r="Z17" s="73"/>
      <c r="AD17" s="49">
        <v>19962.400000000001</v>
      </c>
      <c r="AE17">
        <v>37680</v>
      </c>
      <c r="AF17">
        <v>12226</v>
      </c>
      <c r="AG17">
        <v>118897</v>
      </c>
      <c r="AH17">
        <v>0</v>
      </c>
      <c r="AI17">
        <v>0</v>
      </c>
      <c r="AJ17" s="27">
        <v>0.18530127169139846</v>
      </c>
      <c r="AL17" s="73"/>
      <c r="AP17" s="49">
        <v>26636.800000000003</v>
      </c>
      <c r="AQ17">
        <v>43986</v>
      </c>
      <c r="AR17">
        <v>22606</v>
      </c>
      <c r="AS17">
        <v>0</v>
      </c>
      <c r="AT17">
        <v>0</v>
      </c>
      <c r="AU17">
        <v>0</v>
      </c>
      <c r="AV17" s="27">
        <v>7.8324175443938437E-2</v>
      </c>
      <c r="AX17" s="73"/>
      <c r="BB17" s="49">
        <v>26586</v>
      </c>
      <c r="BC17">
        <v>51740</v>
      </c>
      <c r="BD17">
        <v>14725</v>
      </c>
      <c r="BE17">
        <v>0</v>
      </c>
      <c r="BF17">
        <v>0</v>
      </c>
      <c r="BG17">
        <v>0</v>
      </c>
      <c r="BH17" s="27">
        <v>5.8422700420745391E-2</v>
      </c>
      <c r="BJ17" s="73"/>
      <c r="BN17" s="49">
        <v>38226</v>
      </c>
      <c r="BO17">
        <v>80722</v>
      </c>
      <c r="BP17">
        <v>14843</v>
      </c>
      <c r="BQ17">
        <v>12200</v>
      </c>
      <c r="BR17">
        <v>0</v>
      </c>
      <c r="BS17">
        <v>0</v>
      </c>
      <c r="BT17" s="27">
        <v>6.4500655872506182E-2</v>
      </c>
      <c r="BV17" s="73"/>
      <c r="BZ17" s="49">
        <v>20503.2</v>
      </c>
      <c r="CA17">
        <v>36530</v>
      </c>
      <c r="CB17">
        <v>14728</v>
      </c>
      <c r="CC17">
        <v>11302</v>
      </c>
      <c r="CD17">
        <v>0</v>
      </c>
      <c r="CE17">
        <v>0</v>
      </c>
      <c r="CF17" s="27">
        <v>3.9752716373173437E-2</v>
      </c>
      <c r="CH17" s="73"/>
      <c r="CL17" s="49">
        <v>15551.2</v>
      </c>
      <c r="CM17">
        <v>22757</v>
      </c>
      <c r="CN17">
        <v>16121</v>
      </c>
      <c r="CO17">
        <v>8337</v>
      </c>
      <c r="CP17">
        <v>0</v>
      </c>
      <c r="CQ17">
        <v>0</v>
      </c>
      <c r="CR17" s="27">
        <v>0.16117200310693017</v>
      </c>
      <c r="CS17" s="6"/>
      <c r="CT17" s="73"/>
      <c r="CW17" s="27">
        <v>0.1144373976601364</v>
      </c>
      <c r="CX17" s="27">
        <v>0</v>
      </c>
    </row>
    <row r="18" spans="1:207" hidden="1" x14ac:dyDescent="0.3">
      <c r="A18" s="14" t="s">
        <v>27</v>
      </c>
      <c r="B18" s="23"/>
      <c r="C18" s="23"/>
      <c r="D18" s="24">
        <v>12814.4</v>
      </c>
      <c r="E18" s="5">
        <v>21666</v>
      </c>
      <c r="F18">
        <v>10370</v>
      </c>
      <c r="G18">
        <v>0</v>
      </c>
      <c r="H18">
        <v>0</v>
      </c>
      <c r="I18">
        <v>0</v>
      </c>
      <c r="J18" s="27">
        <v>0.11293112446864853</v>
      </c>
      <c r="K18" s="27">
        <v>0</v>
      </c>
      <c r="L18" s="27">
        <v>5.3183786259993281E-2</v>
      </c>
      <c r="N18" s="73"/>
      <c r="R18" s="49">
        <v>38603.400000000009</v>
      </c>
      <c r="S18">
        <v>75954</v>
      </c>
      <c r="T18">
        <v>20365</v>
      </c>
      <c r="U18">
        <v>1500</v>
      </c>
      <c r="V18">
        <v>0</v>
      </c>
      <c r="W18">
        <v>379</v>
      </c>
      <c r="X18" s="27">
        <v>0.26543031336342376</v>
      </c>
      <c r="Z18" s="73"/>
      <c r="AD18" s="49">
        <v>20031.2</v>
      </c>
      <c r="AE18">
        <v>37852</v>
      </c>
      <c r="AF18">
        <v>12226</v>
      </c>
      <c r="AG18">
        <v>12021</v>
      </c>
      <c r="AH18">
        <v>0</v>
      </c>
      <c r="AI18">
        <v>0</v>
      </c>
      <c r="AJ18" s="27">
        <v>0.18249342932236309</v>
      </c>
      <c r="AL18" s="73"/>
      <c r="AP18" s="49">
        <v>26356.400000000001</v>
      </c>
      <c r="AQ18">
        <v>43388</v>
      </c>
      <c r="AR18">
        <v>22503</v>
      </c>
      <c r="AS18">
        <v>20154</v>
      </c>
      <c r="AT18">
        <v>0</v>
      </c>
      <c r="AU18">
        <v>0</v>
      </c>
      <c r="AV18" s="27">
        <v>8.8026463301545996E-2</v>
      </c>
      <c r="AX18" s="73"/>
      <c r="BB18" s="49">
        <v>26794.000000000004</v>
      </c>
      <c r="BC18">
        <v>52317</v>
      </c>
      <c r="BD18">
        <v>14668</v>
      </c>
      <c r="BE18">
        <v>0</v>
      </c>
      <c r="BF18">
        <v>0</v>
      </c>
      <c r="BG18">
        <v>0</v>
      </c>
      <c r="BH18" s="27">
        <v>5.10561135587696E-2</v>
      </c>
      <c r="BJ18" s="73"/>
      <c r="BN18" s="49">
        <v>38202</v>
      </c>
      <c r="BO18">
        <v>80673</v>
      </c>
      <c r="BP18">
        <v>14832</v>
      </c>
      <c r="BQ18">
        <v>12267</v>
      </c>
      <c r="BR18">
        <v>0</v>
      </c>
      <c r="BS18">
        <v>0</v>
      </c>
      <c r="BT18" s="27">
        <v>6.5088004385535525E-2</v>
      </c>
      <c r="BV18" s="73"/>
      <c r="BZ18" s="49">
        <v>20495.2</v>
      </c>
      <c r="CA18">
        <v>36508</v>
      </c>
      <c r="CB18">
        <v>14730</v>
      </c>
      <c r="CC18">
        <v>11304</v>
      </c>
      <c r="CD18">
        <v>0</v>
      </c>
      <c r="CE18">
        <v>0</v>
      </c>
      <c r="CF18" s="27">
        <v>4.012738853503181E-2</v>
      </c>
      <c r="CH18" s="73"/>
      <c r="CL18" s="49">
        <v>15609.2</v>
      </c>
      <c r="CM18">
        <v>22895</v>
      </c>
      <c r="CN18">
        <v>16128</v>
      </c>
      <c r="CO18">
        <v>8330</v>
      </c>
      <c r="CP18">
        <v>0</v>
      </c>
      <c r="CQ18">
        <v>0</v>
      </c>
      <c r="CR18" s="27">
        <v>0.15804349702252524</v>
      </c>
      <c r="CS18" s="6"/>
      <c r="CT18" s="73"/>
      <c r="CW18" s="27">
        <v>0.11293112446864853</v>
      </c>
      <c r="CX18" s="27">
        <v>0</v>
      </c>
    </row>
    <row r="19" spans="1:207" hidden="1" x14ac:dyDescent="0.3">
      <c r="A19" s="14" t="s">
        <v>27</v>
      </c>
      <c r="B19" s="23"/>
      <c r="C19" s="23"/>
      <c r="D19" s="24">
        <v>12426.400000000001</v>
      </c>
      <c r="E19" s="5">
        <v>20547</v>
      </c>
      <c r="F19">
        <v>10519</v>
      </c>
      <c r="G19">
        <v>0</v>
      </c>
      <c r="H19">
        <v>0</v>
      </c>
      <c r="I19">
        <v>0</v>
      </c>
      <c r="J19" s="27">
        <v>0.11822123155546033</v>
      </c>
      <c r="K19" s="27">
        <v>0</v>
      </c>
      <c r="L19" s="27">
        <v>8.1851901109781092E-2</v>
      </c>
      <c r="N19" s="73"/>
      <c r="R19" s="49">
        <v>38386.600000000006</v>
      </c>
      <c r="S19">
        <v>75496</v>
      </c>
      <c r="T19">
        <v>20187</v>
      </c>
      <c r="U19">
        <v>1045</v>
      </c>
      <c r="V19">
        <v>0</v>
      </c>
      <c r="W19">
        <v>567</v>
      </c>
      <c r="X19" s="27">
        <v>0.26955571962460317</v>
      </c>
      <c r="Z19" s="73"/>
      <c r="AD19" s="49">
        <v>19965.599999999999</v>
      </c>
      <c r="AE19">
        <v>37680</v>
      </c>
      <c r="AF19">
        <v>12234</v>
      </c>
      <c r="AG19">
        <v>12671</v>
      </c>
      <c r="AH19">
        <v>0</v>
      </c>
      <c r="AI19">
        <v>0</v>
      </c>
      <c r="AJ19" s="27">
        <v>0.18517067437190854</v>
      </c>
      <c r="AL19" s="73"/>
      <c r="AP19" s="49">
        <v>26374.400000000001</v>
      </c>
      <c r="AQ19">
        <v>43410</v>
      </c>
      <c r="AR19">
        <v>22526</v>
      </c>
      <c r="AS19">
        <v>20154</v>
      </c>
      <c r="AT19">
        <v>0</v>
      </c>
      <c r="AU19">
        <v>0</v>
      </c>
      <c r="AV19" s="27">
        <v>8.7403634551770901E-2</v>
      </c>
      <c r="AX19" s="73"/>
      <c r="BB19" s="49">
        <v>26729.600000000002</v>
      </c>
      <c r="BC19">
        <v>52168</v>
      </c>
      <c r="BD19">
        <v>14656</v>
      </c>
      <c r="BE19">
        <v>0</v>
      </c>
      <c r="BF19">
        <v>0</v>
      </c>
      <c r="BG19">
        <v>0</v>
      </c>
      <c r="BH19" s="27">
        <v>5.3336922183342884E-2</v>
      </c>
      <c r="BJ19" s="73"/>
      <c r="BN19" s="49">
        <v>38201.200000000004</v>
      </c>
      <c r="BO19">
        <v>80672</v>
      </c>
      <c r="BP19">
        <v>14831</v>
      </c>
      <c r="BQ19">
        <v>12212</v>
      </c>
      <c r="BR19">
        <v>0</v>
      </c>
      <c r="BS19">
        <v>0</v>
      </c>
      <c r="BT19" s="27">
        <v>6.5107582669303068E-2</v>
      </c>
      <c r="BV19" s="73"/>
      <c r="BZ19" s="49">
        <v>20494.400000000001</v>
      </c>
      <c r="CA19">
        <v>36508</v>
      </c>
      <c r="CB19">
        <v>14728</v>
      </c>
      <c r="CC19">
        <v>11304</v>
      </c>
      <c r="CD19">
        <v>0</v>
      </c>
      <c r="CE19">
        <v>0</v>
      </c>
      <c r="CF19" s="27">
        <v>4.0164855751217615E-2</v>
      </c>
      <c r="CH19" s="73"/>
      <c r="CL19" s="49">
        <v>15514</v>
      </c>
      <c r="CM19">
        <v>22669</v>
      </c>
      <c r="CN19">
        <v>16116</v>
      </c>
      <c r="CO19">
        <v>10184</v>
      </c>
      <c r="CP19">
        <v>0</v>
      </c>
      <c r="CQ19">
        <v>0</v>
      </c>
      <c r="CR19" s="27">
        <v>0.16317856218175544</v>
      </c>
      <c r="CS19" s="6"/>
      <c r="CT19" s="73"/>
      <c r="CW19" s="27">
        <v>0.11822123155546033</v>
      </c>
      <c r="CX19" s="27">
        <v>0</v>
      </c>
    </row>
    <row r="20" spans="1:207" s="4" customFormat="1" x14ac:dyDescent="0.3">
      <c r="A20" s="71" t="s">
        <v>27</v>
      </c>
      <c r="B20" s="41" t="s">
        <v>43</v>
      </c>
      <c r="C20" s="41">
        <v>22829</v>
      </c>
      <c r="D20" s="25">
        <v>12742.240000000002</v>
      </c>
      <c r="E20" s="7">
        <v>21433.4</v>
      </c>
      <c r="F20" s="4">
        <v>10422.200000000001</v>
      </c>
      <c r="G20" s="4">
        <v>0</v>
      </c>
      <c r="H20" s="4">
        <v>0</v>
      </c>
      <c r="I20" s="4">
        <v>0</v>
      </c>
      <c r="J20" s="86">
        <v>0.11513374455483252</v>
      </c>
      <c r="K20" s="86">
        <v>4.9039380483435532E-3</v>
      </c>
      <c r="L20" s="27">
        <v>5.851546452690215E-2</v>
      </c>
      <c r="M20" s="27">
        <v>1.3148888063340653E-2</v>
      </c>
      <c r="N20" s="73">
        <v>6.1132769722721039E-2</v>
      </c>
      <c r="O20" s="27" t="e">
        <v>#DIV/0!</v>
      </c>
      <c r="P20">
        <v>52552.4</v>
      </c>
      <c r="Q20" s="26">
        <v>81057</v>
      </c>
      <c r="R20" s="49">
        <v>38537.680000000008</v>
      </c>
      <c r="S20">
        <v>75787.399999999994</v>
      </c>
      <c r="T20">
        <v>20299.2</v>
      </c>
      <c r="U20">
        <v>1466.4</v>
      </c>
      <c r="V20">
        <v>0</v>
      </c>
      <c r="W20">
        <v>515.20000000000005</v>
      </c>
      <c r="X20" s="83">
        <v>0.27342943692630872</v>
      </c>
      <c r="Y20" s="83">
        <v>7.8051215726346913E-3</v>
      </c>
      <c r="Z20" s="73">
        <v>6.5011041612692375E-2</v>
      </c>
      <c r="AA20" s="27" t="e">
        <v>#DIV/0!</v>
      </c>
      <c r="AB20">
        <v>24502.799999999999</v>
      </c>
      <c r="AC20">
        <v>48120</v>
      </c>
      <c r="AD20" s="49">
        <v>19993.760000000002</v>
      </c>
      <c r="AE20">
        <v>37748.800000000003</v>
      </c>
      <c r="AF20">
        <v>12235.6</v>
      </c>
      <c r="AG20">
        <v>33775.4</v>
      </c>
      <c r="AH20">
        <v>0</v>
      </c>
      <c r="AI20">
        <v>0</v>
      </c>
      <c r="AJ20" s="83">
        <v>0.1849296843754846</v>
      </c>
      <c r="AK20" s="83">
        <v>9.0523895627605936E-4</v>
      </c>
      <c r="AL20" s="73">
        <v>0.21552784704904399</v>
      </c>
      <c r="AM20" s="27" t="e">
        <v>#DIV/0!</v>
      </c>
      <c r="AN20">
        <v>28900.400000000001</v>
      </c>
      <c r="AO20">
        <v>48676</v>
      </c>
      <c r="AP20" s="49">
        <v>26536.400000000001</v>
      </c>
      <c r="AQ20">
        <v>43767.8</v>
      </c>
      <c r="AR20">
        <v>22573.200000000001</v>
      </c>
      <c r="AS20">
        <v>11110</v>
      </c>
      <c r="AT20">
        <v>0</v>
      </c>
      <c r="AU20">
        <v>0</v>
      </c>
      <c r="AV20" s="27">
        <v>8.1798175803795101E-2</v>
      </c>
      <c r="AW20" s="27">
        <v>5.4364648273355909E-3</v>
      </c>
      <c r="AX20" s="73">
        <v>0.10083408661352611</v>
      </c>
      <c r="AY20" s="27" t="e">
        <v>#DIV/0!</v>
      </c>
      <c r="AZ20">
        <v>28235.599999999999</v>
      </c>
      <c r="BA20">
        <v>55474</v>
      </c>
      <c r="BB20" s="49">
        <v>26673.279999999999</v>
      </c>
      <c r="BC20">
        <v>52023.8</v>
      </c>
      <c r="BD20">
        <v>14659.4</v>
      </c>
      <c r="BE20">
        <v>0</v>
      </c>
      <c r="BF20">
        <v>0</v>
      </c>
      <c r="BG20">
        <v>0</v>
      </c>
      <c r="BH20" s="27">
        <v>5.5331567241354879E-2</v>
      </c>
      <c r="BI20" s="27">
        <v>3.085462021051298E-3</v>
      </c>
      <c r="BJ20" s="73">
        <v>6.2194902116306683E-2</v>
      </c>
      <c r="BK20" s="27" t="e">
        <v>#DIV/0!</v>
      </c>
      <c r="BL20">
        <v>40861.599999999999</v>
      </c>
      <c r="BM20">
        <v>86423</v>
      </c>
      <c r="BN20" s="49">
        <v>38215.680000000008</v>
      </c>
      <c r="BO20">
        <v>80703.199999999997</v>
      </c>
      <c r="BP20">
        <v>14836</v>
      </c>
      <c r="BQ20">
        <v>12383.4</v>
      </c>
      <c r="BR20">
        <v>0</v>
      </c>
      <c r="BS20">
        <v>0</v>
      </c>
      <c r="BT20" s="27">
        <v>6.4753215733108618E-2</v>
      </c>
      <c r="BU20" s="27">
        <v>7.0115134487114727E-4</v>
      </c>
      <c r="BV20" s="73">
        <v>6.6183770524050348E-2</v>
      </c>
      <c r="BW20" s="27" t="e">
        <v>#DIV/0!</v>
      </c>
      <c r="BX20">
        <v>21352</v>
      </c>
      <c r="BY20">
        <v>38534</v>
      </c>
      <c r="BZ20" s="49">
        <v>20496.48</v>
      </c>
      <c r="CA20">
        <v>36512.400000000001</v>
      </c>
      <c r="CB20">
        <v>14728.8</v>
      </c>
      <c r="CC20">
        <v>11303.6</v>
      </c>
      <c r="CD20">
        <v>0</v>
      </c>
      <c r="CE20">
        <v>0</v>
      </c>
      <c r="CF20" s="83">
        <v>4.1839468015360058E-2</v>
      </c>
      <c r="CG20" s="83">
        <v>6.58603350718979E-3</v>
      </c>
      <c r="CH20" s="73">
        <v>5.246276015985879E-2</v>
      </c>
      <c r="CI20" s="27" t="e">
        <v>#DIV/0!</v>
      </c>
      <c r="CJ20">
        <v>18539.2</v>
      </c>
      <c r="CK20">
        <v>28067</v>
      </c>
      <c r="CL20" s="49">
        <v>15564.16</v>
      </c>
      <c r="CM20">
        <v>22787.8</v>
      </c>
      <c r="CN20">
        <v>16122.6</v>
      </c>
      <c r="CO20">
        <v>9007.2000000000007</v>
      </c>
      <c r="CP20">
        <v>0</v>
      </c>
      <c r="CQ20">
        <v>0</v>
      </c>
      <c r="CR20" s="27">
        <v>0.16047294381634594</v>
      </c>
      <c r="CS20" s="129">
        <v>1.5631440940491934E-3</v>
      </c>
      <c r="CT20" s="73">
        <v>0.18809277799551077</v>
      </c>
      <c r="CU20" s="27" t="e">
        <v>#DIV/0!</v>
      </c>
      <c r="CV20"/>
      <c r="CW20" s="79">
        <v>0.11513374455483252</v>
      </c>
      <c r="CX20" s="79">
        <v>4.9039380483435532E-3</v>
      </c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GV20" s="4" t="e">
        <v>#DIV/0!</v>
      </c>
      <c r="GW20" s="4" t="e">
        <v>#DIV/0!</v>
      </c>
      <c r="GX20" s="4" t="e">
        <v>#DIV/0!</v>
      </c>
      <c r="GY20" s="4" t="e">
        <v>#DIV/0!</v>
      </c>
    </row>
    <row r="21" spans="1:207" hidden="1" x14ac:dyDescent="0.3">
      <c r="A21" s="14" t="s">
        <v>28</v>
      </c>
      <c r="B21" s="23"/>
      <c r="C21" s="23"/>
      <c r="D21" s="24">
        <v>12426.400000000001</v>
      </c>
      <c r="E21" s="5">
        <v>20547</v>
      </c>
      <c r="F21">
        <v>10519</v>
      </c>
      <c r="G21">
        <v>0</v>
      </c>
      <c r="H21">
        <v>0</v>
      </c>
      <c r="I21">
        <v>0</v>
      </c>
      <c r="J21" s="27">
        <v>0.11622254667202436</v>
      </c>
      <c r="K21" s="27">
        <v>0</v>
      </c>
      <c r="L21" s="27">
        <v>8.1858684970777792E-2</v>
      </c>
      <c r="N21" s="73"/>
      <c r="R21" s="49">
        <v>38962.800000000003</v>
      </c>
      <c r="S21">
        <v>76599</v>
      </c>
      <c r="T21">
        <v>20492</v>
      </c>
      <c r="U21">
        <v>1941</v>
      </c>
      <c r="V21">
        <v>0</v>
      </c>
      <c r="W21">
        <v>632</v>
      </c>
      <c r="X21" s="27">
        <v>0.25860553265821046</v>
      </c>
      <c r="Z21" s="73"/>
      <c r="AD21" s="49">
        <v>19962.400000000001</v>
      </c>
      <c r="AE21">
        <v>37680</v>
      </c>
      <c r="AF21">
        <v>12226</v>
      </c>
      <c r="AG21">
        <v>12671</v>
      </c>
      <c r="AH21">
        <v>0</v>
      </c>
      <c r="AI21">
        <v>0</v>
      </c>
      <c r="AJ21" s="27">
        <v>0.18533451954390739</v>
      </c>
      <c r="AL21" s="73"/>
      <c r="AP21" s="49">
        <v>26609.599999999999</v>
      </c>
      <c r="AQ21">
        <v>43918</v>
      </c>
      <c r="AR21">
        <v>22606</v>
      </c>
      <c r="AS21">
        <v>16033</v>
      </c>
      <c r="AT21">
        <v>0</v>
      </c>
      <c r="AU21">
        <v>0</v>
      </c>
      <c r="AV21" s="27">
        <v>7.9297196675593665E-2</v>
      </c>
      <c r="AX21" s="73"/>
      <c r="BB21" s="49">
        <v>26586</v>
      </c>
      <c r="BC21">
        <v>51740</v>
      </c>
      <c r="BD21">
        <v>14725</v>
      </c>
      <c r="BE21">
        <v>0</v>
      </c>
      <c r="BF21">
        <v>0</v>
      </c>
      <c r="BG21">
        <v>0</v>
      </c>
      <c r="BH21" s="27">
        <v>5.8456046407853589E-2</v>
      </c>
      <c r="BJ21" s="73"/>
      <c r="BN21" s="49">
        <v>38212.800000000003</v>
      </c>
      <c r="BO21">
        <v>80694</v>
      </c>
      <c r="BP21">
        <v>14838</v>
      </c>
      <c r="BQ21">
        <v>12205</v>
      </c>
      <c r="BR21">
        <v>0</v>
      </c>
      <c r="BS21">
        <v>0</v>
      </c>
      <c r="BT21" s="27">
        <v>6.484658342836716E-2</v>
      </c>
      <c r="BV21" s="73"/>
      <c r="BZ21" s="49">
        <v>20494.400000000001</v>
      </c>
      <c r="CA21">
        <v>36508</v>
      </c>
      <c r="CB21">
        <v>14728</v>
      </c>
      <c r="CC21">
        <v>11304</v>
      </c>
      <c r="CD21">
        <v>0</v>
      </c>
      <c r="CE21">
        <v>0</v>
      </c>
      <c r="CF21" s="27">
        <v>4.0209806584554794E-2</v>
      </c>
      <c r="CH21" s="73"/>
      <c r="CL21" s="49">
        <v>15551.2</v>
      </c>
      <c r="CM21">
        <v>22757</v>
      </c>
      <c r="CN21">
        <v>16121</v>
      </c>
      <c r="CO21">
        <v>10216</v>
      </c>
      <c r="CP21">
        <v>0</v>
      </c>
      <c r="CQ21">
        <v>0</v>
      </c>
      <c r="CR21" s="27">
        <v>0.16117200310693017</v>
      </c>
      <c r="CS21" s="6"/>
      <c r="CT21" s="73"/>
      <c r="CW21" s="27">
        <v>0.11622254667202436</v>
      </c>
      <c r="CX21" s="27">
        <v>0</v>
      </c>
    </row>
    <row r="22" spans="1:207" hidden="1" x14ac:dyDescent="0.3">
      <c r="A22" s="14" t="s">
        <v>28</v>
      </c>
      <c r="B22" s="23"/>
      <c r="C22" s="23"/>
      <c r="D22" s="24">
        <v>12798</v>
      </c>
      <c r="E22" s="5">
        <v>21632</v>
      </c>
      <c r="F22">
        <v>10363</v>
      </c>
      <c r="G22">
        <v>0</v>
      </c>
      <c r="H22">
        <v>0</v>
      </c>
      <c r="I22">
        <v>0</v>
      </c>
      <c r="J22" s="27">
        <v>0.11126997902716379</v>
      </c>
      <c r="K22" s="27">
        <v>0</v>
      </c>
      <c r="L22" s="27">
        <v>5.4402518046740456E-2</v>
      </c>
      <c r="N22" s="73"/>
      <c r="R22" s="49">
        <v>39367.200000000004</v>
      </c>
      <c r="S22">
        <v>77934</v>
      </c>
      <c r="T22">
        <v>20415</v>
      </c>
      <c r="U22">
        <v>3144</v>
      </c>
      <c r="V22">
        <v>0</v>
      </c>
      <c r="W22">
        <v>138</v>
      </c>
      <c r="X22" s="27">
        <v>0.25091050246035457</v>
      </c>
      <c r="Z22" s="73"/>
      <c r="AD22" s="49">
        <v>19962.400000000001</v>
      </c>
      <c r="AE22">
        <v>37680</v>
      </c>
      <c r="AF22">
        <v>12226</v>
      </c>
      <c r="AG22">
        <v>11765</v>
      </c>
      <c r="AH22">
        <v>0</v>
      </c>
      <c r="AI22">
        <v>0</v>
      </c>
      <c r="AJ22" s="27">
        <v>0.18533451954390739</v>
      </c>
      <c r="AL22" s="73"/>
      <c r="AP22" s="49">
        <v>26356.400000000001</v>
      </c>
      <c r="AQ22">
        <v>43388</v>
      </c>
      <c r="AR22">
        <v>22503</v>
      </c>
      <c r="AS22">
        <v>20154</v>
      </c>
      <c r="AT22">
        <v>0</v>
      </c>
      <c r="AU22">
        <v>0</v>
      </c>
      <c r="AV22" s="27">
        <v>8.8058017950687503E-2</v>
      </c>
      <c r="AX22" s="73"/>
      <c r="BB22" s="49">
        <v>26693.200000000001</v>
      </c>
      <c r="BC22">
        <v>52090</v>
      </c>
      <c r="BD22">
        <v>14643</v>
      </c>
      <c r="BE22">
        <v>0</v>
      </c>
      <c r="BF22">
        <v>0</v>
      </c>
      <c r="BG22">
        <v>0</v>
      </c>
      <c r="BH22" s="27">
        <v>5.4659555328899295E-2</v>
      </c>
      <c r="BJ22" s="73"/>
      <c r="BN22" s="49">
        <v>38189.200000000004</v>
      </c>
      <c r="BO22">
        <v>80641</v>
      </c>
      <c r="BP22">
        <v>14832</v>
      </c>
      <c r="BQ22">
        <v>12177</v>
      </c>
      <c r="BR22">
        <v>0</v>
      </c>
      <c r="BS22">
        <v>0</v>
      </c>
      <c r="BT22" s="27">
        <v>6.5424128665331968E-2</v>
      </c>
      <c r="BV22" s="73"/>
      <c r="BZ22" s="49">
        <v>20494.400000000001</v>
      </c>
      <c r="CA22">
        <v>36508</v>
      </c>
      <c r="CB22">
        <v>14728</v>
      </c>
      <c r="CC22">
        <v>11304</v>
      </c>
      <c r="CD22">
        <v>0</v>
      </c>
      <c r="CE22">
        <v>0</v>
      </c>
      <c r="CF22" s="27">
        <v>4.0209806584554794E-2</v>
      </c>
      <c r="CH22" s="73"/>
      <c r="CL22" s="49">
        <v>15736.800000000001</v>
      </c>
      <c r="CM22">
        <v>23199</v>
      </c>
      <c r="CN22">
        <v>16143</v>
      </c>
      <c r="CO22">
        <v>9768</v>
      </c>
      <c r="CP22">
        <v>0</v>
      </c>
      <c r="CQ22">
        <v>0</v>
      </c>
      <c r="CR22" s="27">
        <v>0.15116078363683436</v>
      </c>
      <c r="CS22" s="6"/>
      <c r="CT22" s="73"/>
      <c r="CW22" s="27">
        <v>0.11126997902716379</v>
      </c>
      <c r="CX22" s="27">
        <v>0</v>
      </c>
    </row>
    <row r="23" spans="1:207" hidden="1" x14ac:dyDescent="0.3">
      <c r="A23" s="14" t="s">
        <v>28</v>
      </c>
      <c r="B23" s="23"/>
      <c r="C23" s="23"/>
      <c r="D23" s="24">
        <v>12426.400000000001</v>
      </c>
      <c r="E23" s="5">
        <v>20547</v>
      </c>
      <c r="F23">
        <v>10519</v>
      </c>
      <c r="G23">
        <v>0</v>
      </c>
      <c r="H23">
        <v>0</v>
      </c>
      <c r="I23">
        <v>0</v>
      </c>
      <c r="J23" s="27">
        <v>0.11553984185646643</v>
      </c>
      <c r="K23" s="27">
        <v>0</v>
      </c>
      <c r="L23" s="27">
        <v>8.1858684970777792E-2</v>
      </c>
      <c r="N23" s="73"/>
      <c r="R23" s="49">
        <v>38244.400000000001</v>
      </c>
      <c r="S23">
        <v>75204</v>
      </c>
      <c r="T23">
        <v>20267</v>
      </c>
      <c r="U23">
        <v>1903</v>
      </c>
      <c r="V23">
        <v>0</v>
      </c>
      <c r="W23">
        <v>280</v>
      </c>
      <c r="X23" s="27">
        <v>0.2722754379355094</v>
      </c>
      <c r="Z23" s="73"/>
      <c r="AD23" s="49">
        <v>20012</v>
      </c>
      <c r="AE23">
        <v>37796</v>
      </c>
      <c r="AF23">
        <v>12234</v>
      </c>
      <c r="AG23">
        <v>12891</v>
      </c>
      <c r="AH23">
        <v>0</v>
      </c>
      <c r="AI23">
        <v>0</v>
      </c>
      <c r="AJ23" s="27">
        <v>0.18331034370179317</v>
      </c>
      <c r="AL23" s="73"/>
      <c r="AP23" s="49">
        <v>26609.599999999999</v>
      </c>
      <c r="AQ23">
        <v>43918</v>
      </c>
      <c r="AR23">
        <v>22606</v>
      </c>
      <c r="AS23">
        <v>16033</v>
      </c>
      <c r="AT23">
        <v>0</v>
      </c>
      <c r="AU23">
        <v>0</v>
      </c>
      <c r="AV23" s="27">
        <v>7.9297196675593665E-2</v>
      </c>
      <c r="AX23" s="73"/>
      <c r="BB23" s="49">
        <v>26772</v>
      </c>
      <c r="BC23">
        <v>52250</v>
      </c>
      <c r="BD23">
        <v>14680</v>
      </c>
      <c r="BE23">
        <v>0</v>
      </c>
      <c r="BF23">
        <v>0</v>
      </c>
      <c r="BG23">
        <v>0</v>
      </c>
      <c r="BH23" s="27">
        <v>5.1868851065638162E-2</v>
      </c>
      <c r="BJ23" s="73"/>
      <c r="BN23" s="49">
        <v>38189.200000000004</v>
      </c>
      <c r="BO23">
        <v>80641</v>
      </c>
      <c r="BP23">
        <v>14832</v>
      </c>
      <c r="BQ23">
        <v>12129</v>
      </c>
      <c r="BR23">
        <v>0</v>
      </c>
      <c r="BS23">
        <v>0</v>
      </c>
      <c r="BT23" s="27">
        <v>6.5424128665331968E-2</v>
      </c>
      <c r="BV23" s="73"/>
      <c r="BZ23" s="49">
        <v>20517.600000000002</v>
      </c>
      <c r="CA23">
        <v>36563</v>
      </c>
      <c r="CB23">
        <v>14731</v>
      </c>
      <c r="CC23">
        <v>11301</v>
      </c>
      <c r="CD23">
        <v>0</v>
      </c>
      <c r="CE23">
        <v>0</v>
      </c>
      <c r="CF23" s="27">
        <v>3.9123308200252789E-2</v>
      </c>
      <c r="CH23" s="73"/>
      <c r="CL23" s="49">
        <v>15736.800000000001</v>
      </c>
      <c r="CM23">
        <v>23199</v>
      </c>
      <c r="CN23">
        <v>16143</v>
      </c>
      <c r="CO23">
        <v>10167</v>
      </c>
      <c r="CP23">
        <v>0</v>
      </c>
      <c r="CQ23">
        <v>0</v>
      </c>
      <c r="CR23" s="27">
        <v>0.15116078363683436</v>
      </c>
      <c r="CS23" s="6"/>
      <c r="CT23" s="73"/>
      <c r="CW23" s="27">
        <v>0.11553984185646643</v>
      </c>
      <c r="CX23" s="27">
        <v>0</v>
      </c>
    </row>
    <row r="24" spans="1:207" hidden="1" x14ac:dyDescent="0.3">
      <c r="A24" s="14" t="s">
        <v>28</v>
      </c>
      <c r="B24" s="23"/>
      <c r="C24" s="23"/>
      <c r="D24" s="24">
        <v>12374.400000000001</v>
      </c>
      <c r="E24" s="5">
        <v>20587</v>
      </c>
      <c r="F24">
        <v>10349</v>
      </c>
      <c r="G24">
        <v>0</v>
      </c>
      <c r="H24">
        <v>0</v>
      </c>
      <c r="I24">
        <v>0</v>
      </c>
      <c r="J24" s="27">
        <v>0.1135189972750197</v>
      </c>
      <c r="K24" s="27">
        <v>0</v>
      </c>
      <c r="L24" s="27">
        <v>8.5700775067790572E-2</v>
      </c>
      <c r="N24" s="73"/>
      <c r="R24" s="49">
        <v>39140.200000000004</v>
      </c>
      <c r="S24">
        <v>77207</v>
      </c>
      <c r="T24">
        <v>20454</v>
      </c>
      <c r="U24">
        <v>1267</v>
      </c>
      <c r="V24">
        <v>0</v>
      </c>
      <c r="W24">
        <v>379</v>
      </c>
      <c r="X24" s="27">
        <v>0.25522991852097099</v>
      </c>
      <c r="Z24" s="73"/>
      <c r="AD24" s="49">
        <v>19962.400000000001</v>
      </c>
      <c r="AE24">
        <v>37680</v>
      </c>
      <c r="AF24">
        <v>12226</v>
      </c>
      <c r="AG24">
        <v>12767</v>
      </c>
      <c r="AH24">
        <v>0</v>
      </c>
      <c r="AI24">
        <v>0</v>
      </c>
      <c r="AJ24" s="27">
        <v>0.18533451954390739</v>
      </c>
      <c r="AL24" s="73"/>
      <c r="AP24" s="49">
        <v>26636.800000000003</v>
      </c>
      <c r="AQ24">
        <v>43986</v>
      </c>
      <c r="AR24">
        <v>22606</v>
      </c>
      <c r="AS24">
        <v>25143</v>
      </c>
      <c r="AT24">
        <v>0</v>
      </c>
      <c r="AU24">
        <v>0</v>
      </c>
      <c r="AV24" s="27">
        <v>7.8356065796120547E-2</v>
      </c>
      <c r="AX24" s="73"/>
      <c r="BB24" s="49">
        <v>26788.800000000003</v>
      </c>
      <c r="BC24">
        <v>52317</v>
      </c>
      <c r="BD24">
        <v>14655</v>
      </c>
      <c r="BE24">
        <v>0</v>
      </c>
      <c r="BF24">
        <v>0</v>
      </c>
      <c r="BG24">
        <v>0</v>
      </c>
      <c r="BH24" s="27">
        <v>5.1273878583115377E-2</v>
      </c>
      <c r="BJ24" s="73"/>
      <c r="BN24" s="49">
        <v>38202.400000000001</v>
      </c>
      <c r="BO24">
        <v>80668</v>
      </c>
      <c r="BP24">
        <v>14838</v>
      </c>
      <c r="BQ24">
        <v>12179</v>
      </c>
      <c r="BR24">
        <v>0</v>
      </c>
      <c r="BS24">
        <v>0</v>
      </c>
      <c r="BT24" s="27">
        <v>6.5101094888724578E-2</v>
      </c>
      <c r="BV24" s="73"/>
      <c r="BZ24" s="49">
        <v>20584.400000000001</v>
      </c>
      <c r="CA24">
        <v>36723</v>
      </c>
      <c r="CB24">
        <v>14738</v>
      </c>
      <c r="CC24">
        <v>11318</v>
      </c>
      <c r="CD24">
        <v>0</v>
      </c>
      <c r="CE24">
        <v>0</v>
      </c>
      <c r="CF24" s="27">
        <v>3.5994942162693701E-2</v>
      </c>
      <c r="CH24" s="73"/>
      <c r="CL24" s="49">
        <v>15736.800000000001</v>
      </c>
      <c r="CM24">
        <v>23199</v>
      </c>
      <c r="CN24">
        <v>16143</v>
      </c>
      <c r="CO24">
        <v>9890</v>
      </c>
      <c r="CP24">
        <v>0</v>
      </c>
      <c r="CQ24">
        <v>0</v>
      </c>
      <c r="CR24" s="27">
        <v>0.15116078363683436</v>
      </c>
      <c r="CS24" s="6"/>
      <c r="CT24" s="73"/>
      <c r="CW24" s="27">
        <v>0.1135189972750197</v>
      </c>
      <c r="CX24" s="27">
        <v>0</v>
      </c>
    </row>
    <row r="25" spans="1:207" hidden="1" x14ac:dyDescent="0.3">
      <c r="A25" s="14" t="s">
        <v>28</v>
      </c>
      <c r="B25" s="23"/>
      <c r="C25" s="23"/>
      <c r="D25" s="24">
        <v>12858</v>
      </c>
      <c r="E25" s="5">
        <v>21656</v>
      </c>
      <c r="F25">
        <v>10489</v>
      </c>
      <c r="G25">
        <v>0</v>
      </c>
      <c r="H25">
        <v>0</v>
      </c>
      <c r="I25">
        <v>0</v>
      </c>
      <c r="J25" s="27">
        <v>0.11260708927800939</v>
      </c>
      <c r="K25" s="27">
        <v>0</v>
      </c>
      <c r="L25" s="27">
        <v>4.9969337165571864E-2</v>
      </c>
      <c r="N25" s="73"/>
      <c r="R25" s="49">
        <v>38718.600000000006</v>
      </c>
      <c r="S25">
        <v>76057</v>
      </c>
      <c r="T25">
        <v>20346</v>
      </c>
      <c r="U25">
        <v>1611</v>
      </c>
      <c r="V25">
        <v>0</v>
      </c>
      <c r="W25">
        <v>787</v>
      </c>
      <c r="X25" s="27">
        <v>0.26325223486967531</v>
      </c>
      <c r="Z25" s="73"/>
      <c r="AD25" s="49">
        <v>19962.400000000001</v>
      </c>
      <c r="AE25">
        <v>37680</v>
      </c>
      <c r="AF25">
        <v>12226</v>
      </c>
      <c r="AG25">
        <v>12671</v>
      </c>
      <c r="AH25">
        <v>0</v>
      </c>
      <c r="AI25">
        <v>0</v>
      </c>
      <c r="AJ25" s="27">
        <v>0.18533451954390739</v>
      </c>
      <c r="AL25" s="73"/>
      <c r="AP25" s="49">
        <v>26333.200000000004</v>
      </c>
      <c r="AQ25">
        <v>43341</v>
      </c>
      <c r="AR25">
        <v>22492</v>
      </c>
      <c r="AS25">
        <v>19258</v>
      </c>
      <c r="AT25">
        <v>0</v>
      </c>
      <c r="AU25">
        <v>0</v>
      </c>
      <c r="AV25" s="27">
        <v>8.8860747230237874E-2</v>
      </c>
      <c r="AX25" s="73"/>
      <c r="BB25" s="49">
        <v>26730</v>
      </c>
      <c r="BC25">
        <v>52168</v>
      </c>
      <c r="BD25">
        <v>14657</v>
      </c>
      <c r="BE25">
        <v>0</v>
      </c>
      <c r="BF25">
        <v>0</v>
      </c>
      <c r="BG25">
        <v>0</v>
      </c>
      <c r="BH25" s="27">
        <v>5.3356282271944874E-2</v>
      </c>
      <c r="BJ25" s="73"/>
      <c r="BN25" s="49">
        <v>38273.600000000006</v>
      </c>
      <c r="BO25">
        <v>80841</v>
      </c>
      <c r="BP25">
        <v>14843</v>
      </c>
      <c r="BQ25">
        <v>12841</v>
      </c>
      <c r="BR25">
        <v>0</v>
      </c>
      <c r="BS25">
        <v>0</v>
      </c>
      <c r="BT25" s="27">
        <v>6.3358670275508483E-2</v>
      </c>
      <c r="BV25" s="73"/>
      <c r="BZ25" s="49">
        <v>20504</v>
      </c>
      <c r="CA25">
        <v>36530</v>
      </c>
      <c r="CB25">
        <v>14730</v>
      </c>
      <c r="CC25">
        <v>11302</v>
      </c>
      <c r="CD25">
        <v>0</v>
      </c>
      <c r="CE25">
        <v>0</v>
      </c>
      <c r="CF25" s="27">
        <v>3.976022104622301E-2</v>
      </c>
      <c r="CH25" s="73"/>
      <c r="CL25" s="49">
        <v>15629.2</v>
      </c>
      <c r="CM25">
        <v>22942</v>
      </c>
      <c r="CN25">
        <v>16131</v>
      </c>
      <c r="CO25">
        <v>10139</v>
      </c>
      <c r="CP25">
        <v>0</v>
      </c>
      <c r="CQ25">
        <v>0</v>
      </c>
      <c r="CR25" s="27">
        <v>0.1569647018210063</v>
      </c>
      <c r="CS25" s="6"/>
      <c r="CT25" s="73"/>
      <c r="CW25" s="27">
        <v>0.11260708927800939</v>
      </c>
      <c r="CX25" s="27">
        <v>0</v>
      </c>
    </row>
    <row r="26" spans="1:207" s="4" customFormat="1" x14ac:dyDescent="0.3">
      <c r="A26" s="15" t="s">
        <v>28</v>
      </c>
      <c r="B26" s="41" t="s">
        <v>44</v>
      </c>
      <c r="C26" s="41">
        <v>22829</v>
      </c>
      <c r="D26" s="25">
        <v>12576.640000000001</v>
      </c>
      <c r="E26" s="7">
        <v>20993.8</v>
      </c>
      <c r="F26" s="4">
        <v>10447.799999999999</v>
      </c>
      <c r="G26" s="4">
        <v>0</v>
      </c>
      <c r="H26" s="4">
        <v>0</v>
      </c>
      <c r="I26" s="4">
        <v>0</v>
      </c>
      <c r="J26" s="27">
        <v>0.1135520881018426</v>
      </c>
      <c r="K26" s="27">
        <v>5.2982152223327557E-3</v>
      </c>
      <c r="L26" s="27">
        <v>7.0758000044331665E-2</v>
      </c>
      <c r="M26" s="27">
        <v>1.709829840023866E-2</v>
      </c>
      <c r="N26" s="73">
        <v>8.0388978930307969E-2</v>
      </c>
      <c r="O26" s="27" t="e">
        <v>#DIV/0!</v>
      </c>
      <c r="P26">
        <v>52553.4</v>
      </c>
      <c r="Q26" s="26">
        <v>81057</v>
      </c>
      <c r="R26" s="49">
        <v>38886.639999999999</v>
      </c>
      <c r="S26">
        <v>76600.2</v>
      </c>
      <c r="T26">
        <v>20394.8</v>
      </c>
      <c r="U26">
        <v>1973.2</v>
      </c>
      <c r="V26">
        <v>0</v>
      </c>
      <c r="W26">
        <v>443.2</v>
      </c>
      <c r="X26" s="27">
        <v>0.26005472528894424</v>
      </c>
      <c r="Y26" s="27">
        <v>8.1939858414104352E-3</v>
      </c>
      <c r="Z26" s="73">
        <v>5.4983530108442244E-2</v>
      </c>
      <c r="AA26" s="27" t="e">
        <v>#DIV/0!</v>
      </c>
      <c r="AB26">
        <v>24503.8</v>
      </c>
      <c r="AC26">
        <v>48120</v>
      </c>
      <c r="AD26" s="49">
        <v>19972.32</v>
      </c>
      <c r="AE26">
        <v>37703.199999999997</v>
      </c>
      <c r="AF26">
        <v>12227.6</v>
      </c>
      <c r="AG26">
        <v>12553</v>
      </c>
      <c r="AH26">
        <v>0</v>
      </c>
      <c r="AI26">
        <v>0</v>
      </c>
      <c r="AJ26" s="27">
        <v>0.18402141796039626</v>
      </c>
      <c r="AK26" s="27">
        <v>1.7094036753113814E-3</v>
      </c>
      <c r="AL26" s="73">
        <v>0.21647547797173738</v>
      </c>
      <c r="AM26" s="27" t="e">
        <v>#DIV/0!</v>
      </c>
      <c r="AN26">
        <v>28901.4</v>
      </c>
      <c r="AO26">
        <v>48676</v>
      </c>
      <c r="AP26" s="49">
        <v>26545.68</v>
      </c>
      <c r="AQ26">
        <v>43801.8</v>
      </c>
      <c r="AR26">
        <v>22562.400000000001</v>
      </c>
      <c r="AS26">
        <v>10366</v>
      </c>
      <c r="AT26">
        <v>0</v>
      </c>
      <c r="AU26">
        <v>0</v>
      </c>
      <c r="AV26" s="27">
        <v>8.1445289521581796E-2</v>
      </c>
      <c r="AW26" s="27">
        <v>5.3194875005290587E-3</v>
      </c>
      <c r="AX26" s="73">
        <v>0.1001355904347111</v>
      </c>
      <c r="AY26" s="27" t="e">
        <v>#DIV/0!</v>
      </c>
      <c r="AZ26">
        <v>28234.6</v>
      </c>
      <c r="BA26">
        <v>55474</v>
      </c>
      <c r="BB26" s="49">
        <v>26714</v>
      </c>
      <c r="BC26">
        <v>52113</v>
      </c>
      <c r="BD26">
        <v>14672</v>
      </c>
      <c r="BE26">
        <v>0</v>
      </c>
      <c r="BF26">
        <v>0</v>
      </c>
      <c r="BG26">
        <v>0</v>
      </c>
      <c r="BH26" s="27">
        <v>5.3922922731490283E-2</v>
      </c>
      <c r="BI26" s="27">
        <v>2.8569898743109321E-3</v>
      </c>
      <c r="BJ26" s="73">
        <v>6.05869416303133E-2</v>
      </c>
      <c r="BK26" s="27" t="e">
        <v>#DIV/0!</v>
      </c>
      <c r="BL26">
        <v>40862.6</v>
      </c>
      <c r="BM26">
        <v>86423</v>
      </c>
      <c r="BN26" s="49">
        <v>38213.440000000002</v>
      </c>
      <c r="BO26">
        <v>80697</v>
      </c>
      <c r="BP26">
        <v>14836.6</v>
      </c>
      <c r="BQ26">
        <v>12306.2</v>
      </c>
      <c r="BR26">
        <v>0</v>
      </c>
      <c r="BS26">
        <v>0</v>
      </c>
      <c r="BT26" s="27">
        <v>6.4830921184652862E-2</v>
      </c>
      <c r="BU26" s="27">
        <v>8.579848637933178E-4</v>
      </c>
      <c r="BV26" s="73">
        <v>6.6255510685812799E-2</v>
      </c>
      <c r="BW26" s="27" t="e">
        <v>#DIV/0!</v>
      </c>
      <c r="BX26">
        <v>21353</v>
      </c>
      <c r="BY26">
        <v>38534</v>
      </c>
      <c r="BZ26" s="49">
        <v>20518.960000000003</v>
      </c>
      <c r="CA26">
        <v>36566.400000000001</v>
      </c>
      <c r="CB26">
        <v>14731</v>
      </c>
      <c r="CC26">
        <v>11305.8</v>
      </c>
      <c r="CD26">
        <v>0</v>
      </c>
      <c r="CE26">
        <v>0</v>
      </c>
      <c r="CF26" s="27">
        <v>3.9059616915655751E-2</v>
      </c>
      <c r="CG26" s="27">
        <v>1.7700993346298896E-3</v>
      </c>
      <c r="CH26" s="73">
        <v>5.1061400321793703E-2</v>
      </c>
      <c r="CI26" s="27" t="e">
        <v>#DIV/0!</v>
      </c>
      <c r="CJ26">
        <v>18539.2</v>
      </c>
      <c r="CK26">
        <v>28067</v>
      </c>
      <c r="CL26" s="49">
        <v>15678.16</v>
      </c>
      <c r="CM26">
        <v>23059.200000000001</v>
      </c>
      <c r="CN26">
        <v>16136.2</v>
      </c>
      <c r="CO26">
        <v>10036</v>
      </c>
      <c r="CP26">
        <v>0</v>
      </c>
      <c r="CQ26">
        <v>0</v>
      </c>
      <c r="CR26" s="27">
        <v>0.15432381116768798</v>
      </c>
      <c r="CS26" s="74">
        <v>4.5794722884383654E-3</v>
      </c>
      <c r="CT26" s="73">
        <v>0.17842305910856163</v>
      </c>
      <c r="CU26" s="27" t="e">
        <v>#DIV/0!</v>
      </c>
      <c r="CV26"/>
      <c r="CW26" s="27">
        <v>0.1135520881018426</v>
      </c>
      <c r="CX26" s="27">
        <v>5.2982152223327557E-3</v>
      </c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GV26" s="4" t="e">
        <v>#DIV/0!</v>
      </c>
      <c r="GW26" s="4" t="e">
        <v>#DIV/0!</v>
      </c>
      <c r="GX26" s="4" t="e">
        <v>#DIV/0!</v>
      </c>
      <c r="GY26" s="4" t="e">
        <v>#DIV/0!</v>
      </c>
    </row>
    <row r="27" spans="1:207" hidden="1" x14ac:dyDescent="0.3">
      <c r="A27" s="14" t="s">
        <v>29</v>
      </c>
      <c r="B27" s="23"/>
      <c r="C27" s="23"/>
      <c r="D27" s="24">
        <v>12426.400000000001</v>
      </c>
      <c r="E27" s="5">
        <v>20547</v>
      </c>
      <c r="F27">
        <v>10519</v>
      </c>
      <c r="G27">
        <v>0</v>
      </c>
      <c r="H27">
        <v>0</v>
      </c>
      <c r="I27">
        <v>0</v>
      </c>
      <c r="J27" s="27">
        <v>0.11774530507627037</v>
      </c>
      <c r="K27" s="27">
        <v>0</v>
      </c>
      <c r="L27" s="27">
        <v>8.1865468731528418E-2</v>
      </c>
      <c r="N27" s="73"/>
      <c r="R27" s="49">
        <v>37893.800000000003</v>
      </c>
      <c r="S27">
        <v>74109</v>
      </c>
      <c r="T27">
        <v>20058</v>
      </c>
      <c r="U27">
        <v>432</v>
      </c>
      <c r="V27">
        <v>0</v>
      </c>
      <c r="W27">
        <v>1135</v>
      </c>
      <c r="X27" s="27">
        <v>0.2789604676297322</v>
      </c>
      <c r="Z27" s="73"/>
      <c r="AD27" s="49">
        <v>20047.2</v>
      </c>
      <c r="AE27">
        <v>37852</v>
      </c>
      <c r="AF27">
        <v>12266</v>
      </c>
      <c r="AG27">
        <v>12279</v>
      </c>
      <c r="AH27">
        <v>0</v>
      </c>
      <c r="AI27">
        <v>0</v>
      </c>
      <c r="AJ27" s="27">
        <v>0.18190721817766309</v>
      </c>
      <c r="AL27" s="73"/>
      <c r="AP27" s="49">
        <v>26636.800000000003</v>
      </c>
      <c r="AQ27">
        <v>43986</v>
      </c>
      <c r="AR27">
        <v>22606</v>
      </c>
      <c r="AS27">
        <v>0</v>
      </c>
      <c r="AT27">
        <v>0</v>
      </c>
      <c r="AU27">
        <v>0</v>
      </c>
      <c r="AV27" s="27">
        <v>7.8387953941541133E-2</v>
      </c>
      <c r="AX27" s="73"/>
      <c r="BB27" s="49">
        <v>26606.400000000001</v>
      </c>
      <c r="BC27">
        <v>51886</v>
      </c>
      <c r="BD27">
        <v>14630</v>
      </c>
      <c r="BE27">
        <v>0</v>
      </c>
      <c r="BF27">
        <v>0</v>
      </c>
      <c r="BG27">
        <v>0</v>
      </c>
      <c r="BH27" s="27">
        <v>5.7766949032495581E-2</v>
      </c>
      <c r="BJ27" s="73"/>
      <c r="BN27" s="49">
        <v>38274.800000000003</v>
      </c>
      <c r="BO27">
        <v>80876</v>
      </c>
      <c r="BP27">
        <v>14811</v>
      </c>
      <c r="BQ27">
        <v>12141</v>
      </c>
      <c r="BR27">
        <v>0</v>
      </c>
      <c r="BS27">
        <v>0</v>
      </c>
      <c r="BT27" s="27">
        <v>6.3352225452480829E-2</v>
      </c>
      <c r="BV27" s="73"/>
      <c r="BZ27" s="49">
        <v>20530.8</v>
      </c>
      <c r="CA27">
        <v>36595</v>
      </c>
      <c r="CB27">
        <v>14732</v>
      </c>
      <c r="CC27">
        <v>11305</v>
      </c>
      <c r="CD27">
        <v>0</v>
      </c>
      <c r="CE27">
        <v>0</v>
      </c>
      <c r="CF27" s="27">
        <v>3.8550154537791551E-2</v>
      </c>
      <c r="CH27" s="73"/>
      <c r="CL27" s="49">
        <v>15551.2</v>
      </c>
      <c r="CM27">
        <v>22757</v>
      </c>
      <c r="CN27">
        <v>16121</v>
      </c>
      <c r="CO27">
        <v>10216</v>
      </c>
      <c r="CP27">
        <v>0</v>
      </c>
      <c r="CQ27">
        <v>0</v>
      </c>
      <c r="CR27" s="27">
        <v>0.16117200310693017</v>
      </c>
      <c r="CS27" s="6"/>
      <c r="CT27" s="73"/>
      <c r="CW27" s="27">
        <v>0.11774530507627037</v>
      </c>
      <c r="CX27" s="27">
        <v>0</v>
      </c>
    </row>
    <row r="28" spans="1:207" hidden="1" x14ac:dyDescent="0.3">
      <c r="A28" s="14" t="s">
        <v>29</v>
      </c>
      <c r="B28" s="23"/>
      <c r="C28" s="23"/>
      <c r="D28" s="24">
        <v>12426.400000000001</v>
      </c>
      <c r="E28" s="5">
        <v>20547</v>
      </c>
      <c r="F28">
        <v>10519</v>
      </c>
      <c r="G28">
        <v>0</v>
      </c>
      <c r="H28">
        <v>0</v>
      </c>
      <c r="I28">
        <v>0</v>
      </c>
      <c r="J28" s="27">
        <v>0.11934286398968612</v>
      </c>
      <c r="K28" s="27">
        <v>0</v>
      </c>
      <c r="L28" s="27">
        <v>8.1865468731528418E-2</v>
      </c>
      <c r="N28" s="73"/>
      <c r="R28" s="49">
        <v>38059.800000000003</v>
      </c>
      <c r="S28">
        <v>74495</v>
      </c>
      <c r="T28">
        <v>20171</v>
      </c>
      <c r="U28">
        <v>614</v>
      </c>
      <c r="V28">
        <v>0</v>
      </c>
      <c r="W28">
        <v>967</v>
      </c>
      <c r="X28" s="27">
        <v>0.27580183581203471</v>
      </c>
      <c r="Z28" s="73"/>
      <c r="AD28" s="49">
        <v>19962.400000000001</v>
      </c>
      <c r="AE28">
        <v>37680</v>
      </c>
      <c r="AF28">
        <v>12226</v>
      </c>
      <c r="AG28">
        <v>12781</v>
      </c>
      <c r="AH28">
        <v>0</v>
      </c>
      <c r="AI28">
        <v>0</v>
      </c>
      <c r="AJ28" s="27">
        <v>0.18536776468283755</v>
      </c>
      <c r="AL28" s="73"/>
      <c r="AP28" s="49">
        <v>26370.400000000001</v>
      </c>
      <c r="AQ28">
        <v>43402</v>
      </c>
      <c r="AR28">
        <v>22524</v>
      </c>
      <c r="AS28">
        <v>20267</v>
      </c>
      <c r="AT28">
        <v>0</v>
      </c>
      <c r="AU28">
        <v>0</v>
      </c>
      <c r="AV28" s="27">
        <v>8.7605181576616467E-2</v>
      </c>
      <c r="AX28" s="73"/>
      <c r="BB28" s="49">
        <v>26816.000000000004</v>
      </c>
      <c r="BC28">
        <v>52372</v>
      </c>
      <c r="BD28">
        <v>14668</v>
      </c>
      <c r="BE28">
        <v>0</v>
      </c>
      <c r="BF28">
        <v>0</v>
      </c>
      <c r="BG28">
        <v>0</v>
      </c>
      <c r="BH28" s="27">
        <v>5.0344221888545593E-2</v>
      </c>
      <c r="BJ28" s="73"/>
      <c r="BN28" s="49">
        <v>38188.400000000001</v>
      </c>
      <c r="BO28">
        <v>80640</v>
      </c>
      <c r="BP28">
        <v>14831</v>
      </c>
      <c r="BQ28">
        <v>12049</v>
      </c>
      <c r="BR28">
        <v>0</v>
      </c>
      <c r="BS28">
        <v>0</v>
      </c>
      <c r="BT28" s="27">
        <v>6.5466576610969107E-2</v>
      </c>
      <c r="BV28" s="73"/>
      <c r="BZ28" s="49">
        <v>20094.400000000001</v>
      </c>
      <c r="CA28">
        <v>35508</v>
      </c>
      <c r="CB28">
        <v>14728</v>
      </c>
      <c r="CC28">
        <v>11304</v>
      </c>
      <c r="CD28">
        <v>0</v>
      </c>
      <c r="CE28">
        <v>0</v>
      </c>
      <c r="CF28" s="27">
        <v>5.8986606724735345E-2</v>
      </c>
      <c r="CH28" s="73"/>
      <c r="CL28" s="49">
        <v>15771.2</v>
      </c>
      <c r="CM28">
        <v>23281</v>
      </c>
      <c r="CN28">
        <v>16147</v>
      </c>
      <c r="CO28">
        <v>9764</v>
      </c>
      <c r="CP28">
        <v>0</v>
      </c>
      <c r="CQ28">
        <v>0</v>
      </c>
      <c r="CR28" s="27">
        <v>0.14930525589022178</v>
      </c>
      <c r="CS28" s="6"/>
      <c r="CT28" s="73"/>
      <c r="CW28" s="27">
        <v>0.11934286398968612</v>
      </c>
      <c r="CX28" s="27">
        <v>0</v>
      </c>
    </row>
    <row r="29" spans="1:207" hidden="1" x14ac:dyDescent="0.3">
      <c r="A29" s="14" t="s">
        <v>29</v>
      </c>
      <c r="B29" s="23"/>
      <c r="C29" s="23"/>
      <c r="D29" s="24">
        <v>12442</v>
      </c>
      <c r="E29" s="5">
        <v>20555</v>
      </c>
      <c r="F29">
        <v>10550</v>
      </c>
      <c r="G29">
        <v>0</v>
      </c>
      <c r="H29">
        <v>0</v>
      </c>
      <c r="I29">
        <v>0</v>
      </c>
      <c r="J29" s="27">
        <v>0.11565619946275418</v>
      </c>
      <c r="K29" s="27">
        <v>0</v>
      </c>
      <c r="L29" s="27">
        <v>8.0712850218701948E-2</v>
      </c>
      <c r="N29" s="73"/>
      <c r="R29" s="49">
        <v>38376</v>
      </c>
      <c r="S29">
        <v>75543</v>
      </c>
      <c r="T29">
        <v>20281</v>
      </c>
      <c r="U29">
        <v>2117</v>
      </c>
      <c r="V29">
        <v>0</v>
      </c>
      <c r="W29">
        <v>232</v>
      </c>
      <c r="X29" s="27">
        <v>0.26978521303639658</v>
      </c>
      <c r="Z29" s="73"/>
      <c r="AD29" s="49">
        <v>19962.400000000001</v>
      </c>
      <c r="AE29">
        <v>37680</v>
      </c>
      <c r="AF29">
        <v>12226</v>
      </c>
      <c r="AG29">
        <v>12671</v>
      </c>
      <c r="AH29">
        <v>0</v>
      </c>
      <c r="AI29">
        <v>0</v>
      </c>
      <c r="AJ29" s="27">
        <v>0.18536776468283755</v>
      </c>
      <c r="AL29" s="73"/>
      <c r="AP29" s="49">
        <v>26702</v>
      </c>
      <c r="AQ29">
        <v>44104</v>
      </c>
      <c r="AR29">
        <v>22651</v>
      </c>
      <c r="AS29">
        <v>16002</v>
      </c>
      <c r="AT29">
        <v>0</v>
      </c>
      <c r="AU29">
        <v>0</v>
      </c>
      <c r="AV29" s="27">
        <v>7.6132085916740519E-2</v>
      </c>
      <c r="AX29" s="73"/>
      <c r="BB29" s="49">
        <v>26586</v>
      </c>
      <c r="BC29">
        <v>51740</v>
      </c>
      <c r="BD29">
        <v>14725</v>
      </c>
      <c r="BE29">
        <v>0</v>
      </c>
      <c r="BF29">
        <v>0</v>
      </c>
      <c r="BG29">
        <v>0</v>
      </c>
      <c r="BH29" s="27">
        <v>5.8489390033147244E-2</v>
      </c>
      <c r="BJ29" s="73"/>
      <c r="BN29" s="49">
        <v>38199.200000000004</v>
      </c>
      <c r="BO29">
        <v>80662</v>
      </c>
      <c r="BP29">
        <v>14836</v>
      </c>
      <c r="BQ29">
        <v>12091</v>
      </c>
      <c r="BR29">
        <v>0</v>
      </c>
      <c r="BS29">
        <v>0</v>
      </c>
      <c r="BT29" s="27">
        <v>6.5202282716158008E-2</v>
      </c>
      <c r="BV29" s="73"/>
      <c r="BZ29" s="49">
        <v>20494.400000000001</v>
      </c>
      <c r="CA29">
        <v>36508</v>
      </c>
      <c r="CB29">
        <v>14728</v>
      </c>
      <c r="CC29">
        <v>11304</v>
      </c>
      <c r="CD29">
        <v>0</v>
      </c>
      <c r="CE29">
        <v>0</v>
      </c>
      <c r="CF29" s="27">
        <v>4.0254753207829848E-2</v>
      </c>
      <c r="CH29" s="73"/>
      <c r="CL29" s="49">
        <v>15771.2</v>
      </c>
      <c r="CM29">
        <v>23281</v>
      </c>
      <c r="CN29">
        <v>16147</v>
      </c>
      <c r="CO29">
        <v>9764</v>
      </c>
      <c r="CP29">
        <v>0</v>
      </c>
      <c r="CQ29">
        <v>0</v>
      </c>
      <c r="CR29" s="27">
        <v>0.14930525589022178</v>
      </c>
      <c r="CS29" s="6"/>
      <c r="CT29" s="73"/>
      <c r="CW29" s="27">
        <v>0.11565619946275418</v>
      </c>
      <c r="CX29" s="27">
        <v>0</v>
      </c>
    </row>
    <row r="30" spans="1:207" hidden="1" x14ac:dyDescent="0.3">
      <c r="A30" s="14" t="s">
        <v>29</v>
      </c>
      <c r="B30" s="23"/>
      <c r="C30" s="23"/>
      <c r="D30" s="24">
        <v>12798</v>
      </c>
      <c r="E30" s="5">
        <v>21632</v>
      </c>
      <c r="F30">
        <v>10363</v>
      </c>
      <c r="G30">
        <v>0</v>
      </c>
      <c r="H30">
        <v>0</v>
      </c>
      <c r="I30">
        <v>0</v>
      </c>
      <c r="J30" s="27">
        <v>0.11008019992321706</v>
      </c>
      <c r="K30" s="27">
        <v>0</v>
      </c>
      <c r="L30" s="27">
        <v>5.4409504669582665E-2</v>
      </c>
      <c r="N30" s="73"/>
      <c r="R30" s="49">
        <v>38802.000000000007</v>
      </c>
      <c r="S30">
        <v>76441</v>
      </c>
      <c r="T30">
        <v>20193</v>
      </c>
      <c r="U30">
        <v>753</v>
      </c>
      <c r="V30">
        <v>0</v>
      </c>
      <c r="W30">
        <v>742</v>
      </c>
      <c r="X30" s="27">
        <v>0.26167932656447401</v>
      </c>
      <c r="Z30" s="73"/>
      <c r="AD30" s="49">
        <v>19962.400000000001</v>
      </c>
      <c r="AE30">
        <v>37680</v>
      </c>
      <c r="AF30">
        <v>12226</v>
      </c>
      <c r="AG30">
        <v>11779</v>
      </c>
      <c r="AH30">
        <v>0</v>
      </c>
      <c r="AI30">
        <v>0</v>
      </c>
      <c r="AJ30" s="27">
        <v>0.18536776468283755</v>
      </c>
      <c r="AL30" s="73"/>
      <c r="AP30" s="49">
        <v>26755.200000000001</v>
      </c>
      <c r="AQ30">
        <v>44298</v>
      </c>
      <c r="AR30">
        <v>22590</v>
      </c>
      <c r="AS30">
        <v>22275</v>
      </c>
      <c r="AT30">
        <v>0</v>
      </c>
      <c r="AU30">
        <v>0</v>
      </c>
      <c r="AV30" s="27">
        <v>7.4291408325952185E-2</v>
      </c>
      <c r="AX30" s="73"/>
      <c r="BB30" s="49">
        <v>26726.000000000004</v>
      </c>
      <c r="BC30">
        <v>52127</v>
      </c>
      <c r="BD30">
        <v>14688</v>
      </c>
      <c r="BE30">
        <v>0</v>
      </c>
      <c r="BF30">
        <v>0</v>
      </c>
      <c r="BG30">
        <v>0</v>
      </c>
      <c r="BH30" s="27">
        <v>5.353146159730271E-2</v>
      </c>
      <c r="BJ30" s="73"/>
      <c r="BN30" s="49">
        <v>38189.200000000004</v>
      </c>
      <c r="BO30">
        <v>80641</v>
      </c>
      <c r="BP30">
        <v>14832</v>
      </c>
      <c r="BQ30">
        <v>12242</v>
      </c>
      <c r="BR30">
        <v>0</v>
      </c>
      <c r="BS30">
        <v>0</v>
      </c>
      <c r="BT30" s="27">
        <v>6.5446999285427479E-2</v>
      </c>
      <c r="BV30" s="73"/>
      <c r="BZ30" s="49">
        <v>20652.400000000001</v>
      </c>
      <c r="CA30">
        <v>36886</v>
      </c>
      <c r="CB30">
        <v>14745</v>
      </c>
      <c r="CC30">
        <v>11311</v>
      </c>
      <c r="CD30">
        <v>0</v>
      </c>
      <c r="CE30">
        <v>0</v>
      </c>
      <c r="CF30" s="27">
        <v>3.2855671068652177E-2</v>
      </c>
      <c r="CH30" s="73"/>
      <c r="CL30" s="49">
        <v>15701.6</v>
      </c>
      <c r="CM30">
        <v>23115</v>
      </c>
      <c r="CN30">
        <v>16139</v>
      </c>
      <c r="CO30">
        <v>8987</v>
      </c>
      <c r="CP30">
        <v>0</v>
      </c>
      <c r="CQ30">
        <v>0</v>
      </c>
      <c r="CR30" s="27">
        <v>0.15305946319150773</v>
      </c>
      <c r="CS30" s="6"/>
      <c r="CT30" s="73"/>
      <c r="CW30" s="27">
        <v>0.11008019992321706</v>
      </c>
      <c r="CX30" s="27">
        <v>0</v>
      </c>
    </row>
    <row r="31" spans="1:207" hidden="1" x14ac:dyDescent="0.3">
      <c r="A31" s="14" t="s">
        <v>29</v>
      </c>
      <c r="B31" s="23"/>
      <c r="C31" s="23"/>
      <c r="D31" s="24">
        <v>12814.4</v>
      </c>
      <c r="E31" s="5">
        <v>21666</v>
      </c>
      <c r="F31">
        <v>10370</v>
      </c>
      <c r="G31">
        <v>0</v>
      </c>
      <c r="H31">
        <v>0</v>
      </c>
      <c r="I31">
        <v>0</v>
      </c>
      <c r="J31" s="27">
        <v>0.11498671015717019</v>
      </c>
      <c r="K31" s="27">
        <v>0</v>
      </c>
      <c r="L31" s="27">
        <v>5.3197777515072708E-2</v>
      </c>
      <c r="N31" s="73"/>
      <c r="R31" s="49">
        <v>37790.800000000003</v>
      </c>
      <c r="S31">
        <v>73906</v>
      </c>
      <c r="T31">
        <v>19965</v>
      </c>
      <c r="U31">
        <v>355</v>
      </c>
      <c r="V31">
        <v>0</v>
      </c>
      <c r="W31">
        <v>1212</v>
      </c>
      <c r="X31" s="27">
        <v>0.28092034158890594</v>
      </c>
      <c r="Z31" s="73"/>
      <c r="AD31" s="49">
        <v>20046</v>
      </c>
      <c r="AE31">
        <v>37848</v>
      </c>
      <c r="AF31">
        <v>12267</v>
      </c>
      <c r="AG31">
        <v>11395</v>
      </c>
      <c r="AH31">
        <v>0</v>
      </c>
      <c r="AI31">
        <v>0</v>
      </c>
      <c r="AJ31" s="27">
        <v>0.18195618817537787</v>
      </c>
      <c r="AL31" s="73"/>
      <c r="AP31" s="49">
        <v>26430.800000000003</v>
      </c>
      <c r="AQ31">
        <v>43524</v>
      </c>
      <c r="AR31">
        <v>22553</v>
      </c>
      <c r="AS31">
        <v>20140</v>
      </c>
      <c r="AT31">
        <v>0</v>
      </c>
      <c r="AU31">
        <v>0</v>
      </c>
      <c r="AV31" s="27">
        <v>8.5515389725420665E-2</v>
      </c>
      <c r="AX31" s="73"/>
      <c r="BB31" s="49">
        <v>26737.200000000004</v>
      </c>
      <c r="BC31">
        <v>52212</v>
      </c>
      <c r="BD31">
        <v>14631</v>
      </c>
      <c r="BE31">
        <v>0</v>
      </c>
      <c r="BF31">
        <v>0</v>
      </c>
      <c r="BG31">
        <v>0</v>
      </c>
      <c r="BH31" s="27">
        <v>5.313482732243513E-2</v>
      </c>
      <c r="BJ31" s="73"/>
      <c r="BN31" s="49">
        <v>38189.200000000004</v>
      </c>
      <c r="BO31">
        <v>80641</v>
      </c>
      <c r="BP31">
        <v>14832</v>
      </c>
      <c r="BQ31">
        <v>12183</v>
      </c>
      <c r="BR31">
        <v>0</v>
      </c>
      <c r="BS31">
        <v>0</v>
      </c>
      <c r="BT31" s="27">
        <v>6.5446999285427479E-2</v>
      </c>
      <c r="BV31" s="73"/>
      <c r="BZ31" s="49">
        <v>20530.8</v>
      </c>
      <c r="CA31">
        <v>36595</v>
      </c>
      <c r="CB31">
        <v>14732</v>
      </c>
      <c r="CC31">
        <v>11305</v>
      </c>
      <c r="CD31">
        <v>0</v>
      </c>
      <c r="CE31">
        <v>0</v>
      </c>
      <c r="CF31" s="27">
        <v>3.8550154537791551E-2</v>
      </c>
      <c r="CH31" s="73"/>
      <c r="CL31" s="49">
        <v>15551.2</v>
      </c>
      <c r="CM31">
        <v>22757</v>
      </c>
      <c r="CN31">
        <v>16121</v>
      </c>
      <c r="CO31">
        <v>10216</v>
      </c>
      <c r="CP31">
        <v>0</v>
      </c>
      <c r="CQ31">
        <v>0</v>
      </c>
      <c r="CR31" s="27">
        <v>0.16117200310693017</v>
      </c>
      <c r="CS31" s="6"/>
      <c r="CT31" s="73"/>
      <c r="CW31" s="27">
        <v>0.11498671015717019</v>
      </c>
      <c r="CX31" s="27">
        <v>0</v>
      </c>
    </row>
    <row r="32" spans="1:207" s="4" customFormat="1" ht="15" thickBot="1" x14ac:dyDescent="0.35">
      <c r="A32" s="16" t="s">
        <v>29</v>
      </c>
      <c r="B32" s="41" t="s">
        <v>45</v>
      </c>
      <c r="C32" s="41">
        <v>22829</v>
      </c>
      <c r="D32" s="25">
        <v>12581.44</v>
      </c>
      <c r="E32" s="35">
        <v>20989.4</v>
      </c>
      <c r="F32" s="9">
        <v>10464.200000000001</v>
      </c>
      <c r="G32" s="4">
        <v>0</v>
      </c>
      <c r="H32" s="4">
        <v>0</v>
      </c>
      <c r="I32" s="4">
        <v>0</v>
      </c>
      <c r="J32" s="27">
        <v>0.11504582479393291</v>
      </c>
      <c r="K32" s="84">
        <v>4.6341651569933497E-3</v>
      </c>
      <c r="L32" s="27">
        <v>7.0410213973282829E-2</v>
      </c>
      <c r="M32" s="27">
        <v>1.5173008137869997E-2</v>
      </c>
      <c r="N32" s="73">
        <v>8.058171623811812E-2</v>
      </c>
      <c r="O32" s="27" t="e">
        <v>#DIV/0!</v>
      </c>
      <c r="P32">
        <v>52554.400000000001</v>
      </c>
      <c r="Q32" s="26">
        <v>81057</v>
      </c>
      <c r="R32" s="49">
        <v>38184.480000000003</v>
      </c>
      <c r="S32">
        <v>74898.8</v>
      </c>
      <c r="T32">
        <v>20133.599999999999</v>
      </c>
      <c r="U32">
        <v>854.2</v>
      </c>
      <c r="V32">
        <v>0</v>
      </c>
      <c r="W32">
        <v>857.6</v>
      </c>
      <c r="X32" s="27">
        <v>0.26668087470791046</v>
      </c>
      <c r="Y32" s="27">
        <v>7.6008331842319947E-3</v>
      </c>
      <c r="Z32" s="73">
        <v>7.5973697521497185E-2</v>
      </c>
      <c r="AA32" s="27" t="e">
        <v>#DIV/0!</v>
      </c>
      <c r="AB32">
        <v>24504.799999999999</v>
      </c>
      <c r="AC32">
        <v>48120</v>
      </c>
      <c r="AD32" s="49">
        <v>19996.080000000002</v>
      </c>
      <c r="AE32">
        <v>37748</v>
      </c>
      <c r="AF32">
        <v>12242.2</v>
      </c>
      <c r="AG32">
        <v>12181</v>
      </c>
      <c r="AH32">
        <v>0</v>
      </c>
      <c r="AI32">
        <v>0</v>
      </c>
      <c r="AJ32" s="27">
        <v>0.18399334008031071</v>
      </c>
      <c r="AK32" s="27">
        <v>1.8820880319854103E-3</v>
      </c>
      <c r="AL32" s="73">
        <v>0.21554447215295094</v>
      </c>
      <c r="AM32" s="27" t="e">
        <v>#DIV/0!</v>
      </c>
      <c r="AN32">
        <v>28902.400000000001</v>
      </c>
      <c r="AO32">
        <v>48676</v>
      </c>
      <c r="AP32" s="49">
        <v>26579.040000000001</v>
      </c>
      <c r="AQ32">
        <v>43862.8</v>
      </c>
      <c r="AR32">
        <v>22584.799999999999</v>
      </c>
      <c r="AS32">
        <v>15736.8</v>
      </c>
      <c r="AT32">
        <v>0</v>
      </c>
      <c r="AU32">
        <v>0</v>
      </c>
      <c r="AV32" s="27">
        <v>8.0386403897254224E-2</v>
      </c>
      <c r="AW32" s="27">
        <v>5.8664137581787143E-3</v>
      </c>
      <c r="AX32" s="73">
        <v>9.8882406113895899E-2</v>
      </c>
      <c r="AY32" s="27" t="e">
        <v>#DIV/0!</v>
      </c>
      <c r="AZ32">
        <v>28237.599999999999</v>
      </c>
      <c r="BA32">
        <v>55474</v>
      </c>
      <c r="BB32" s="49">
        <v>26694.32</v>
      </c>
      <c r="BC32">
        <v>52067.4</v>
      </c>
      <c r="BD32">
        <v>14668.4</v>
      </c>
      <c r="BE32">
        <v>0</v>
      </c>
      <c r="BF32">
        <v>0</v>
      </c>
      <c r="BG32">
        <v>0</v>
      </c>
      <c r="BH32" s="27">
        <v>5.4653369974785357E-2</v>
      </c>
      <c r="BI32" s="27">
        <v>3.4111153549969122E-3</v>
      </c>
      <c r="BJ32" s="73">
        <v>6.1408948336157454E-2</v>
      </c>
      <c r="BK32" s="27" t="e">
        <v>#DIV/0!</v>
      </c>
      <c r="BL32">
        <v>40863.599999999999</v>
      </c>
      <c r="BM32">
        <v>86423</v>
      </c>
      <c r="BN32" s="49">
        <v>38208.160000000011</v>
      </c>
      <c r="BO32">
        <v>80692</v>
      </c>
      <c r="BP32">
        <v>14828.4</v>
      </c>
      <c r="BQ32">
        <v>12141.2</v>
      </c>
      <c r="BR32">
        <v>0</v>
      </c>
      <c r="BS32">
        <v>0</v>
      </c>
      <c r="BT32" s="27">
        <v>6.3227341023771061E-2</v>
      </c>
      <c r="BU32" s="84">
        <v>5.2159557711783586E-4</v>
      </c>
      <c r="BV32" s="73">
        <v>6.63133656549761E-2</v>
      </c>
      <c r="BW32" s="27" t="e">
        <v>#DIV/0!</v>
      </c>
      <c r="BX32">
        <v>21354</v>
      </c>
      <c r="BY32">
        <v>38534</v>
      </c>
      <c r="BZ32" s="49">
        <v>20460.560000000001</v>
      </c>
      <c r="CA32">
        <v>36418.400000000001</v>
      </c>
      <c r="CB32">
        <v>14733</v>
      </c>
      <c r="CC32">
        <v>11305.8</v>
      </c>
      <c r="CD32">
        <v>0</v>
      </c>
      <c r="CE32">
        <v>0</v>
      </c>
      <c r="CF32" s="27">
        <v>4.0067440989134527E-2</v>
      </c>
      <c r="CG32" s="84">
        <v>1.7693096969826871E-4</v>
      </c>
      <c r="CH32" s="73">
        <v>5.4902164322416527E-2</v>
      </c>
      <c r="CI32" s="27" t="e">
        <v>#DIV/0!</v>
      </c>
      <c r="CJ32">
        <v>18539.2</v>
      </c>
      <c r="CK32">
        <v>28067</v>
      </c>
      <c r="CL32" s="49">
        <v>15953.2</v>
      </c>
      <c r="CM32">
        <v>23713</v>
      </c>
      <c r="CN32">
        <v>16170</v>
      </c>
      <c r="CO32">
        <v>9917.2000000000007</v>
      </c>
      <c r="CP32">
        <v>0</v>
      </c>
      <c r="CQ32">
        <v>0</v>
      </c>
      <c r="CR32" s="83">
        <v>0.16094761370501423</v>
      </c>
      <c r="CS32" s="130">
        <v>2.4413362418676701E-3</v>
      </c>
      <c r="CT32" s="27"/>
      <c r="CU32" s="27" t="e">
        <v>#DIV/0!</v>
      </c>
      <c r="CV32"/>
      <c r="CW32" s="27">
        <v>0.11504582479393291</v>
      </c>
      <c r="CX32" s="27">
        <v>4.6341651569933497E-3</v>
      </c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GV32" s="4" t="e">
        <v>#DIV/0!</v>
      </c>
      <c r="GW32" s="4" t="e">
        <v>#DIV/0!</v>
      </c>
      <c r="GX32" s="4" t="e">
        <v>#DIV/0!</v>
      </c>
      <c r="GY32" s="4" t="e">
        <v>#DIV/0!</v>
      </c>
    </row>
    <row r="33" spans="1:122" hidden="1" x14ac:dyDescent="0.3">
      <c r="A33" s="14" t="s">
        <v>35</v>
      </c>
      <c r="B33" s="18"/>
      <c r="C33" s="18"/>
      <c r="D33" s="24">
        <v>12442</v>
      </c>
      <c r="E33" s="5">
        <v>20555</v>
      </c>
      <c r="F33">
        <v>10550</v>
      </c>
      <c r="G33">
        <v>0</v>
      </c>
      <c r="H33">
        <v>0</v>
      </c>
      <c r="I33">
        <v>0</v>
      </c>
      <c r="J33" s="27">
        <v>9.4041834421801862E-2</v>
      </c>
      <c r="K33" s="27">
        <v>0</v>
      </c>
      <c r="L33" s="27">
        <v>8.0712850218701948E-2</v>
      </c>
      <c r="N33" s="73"/>
      <c r="R33" s="49">
        <v>38876.6</v>
      </c>
      <c r="S33">
        <v>76689</v>
      </c>
      <c r="T33">
        <v>20401</v>
      </c>
      <c r="U33">
        <v>0</v>
      </c>
      <c r="V33">
        <v>0</v>
      </c>
      <c r="W33">
        <v>203</v>
      </c>
      <c r="X33" s="27">
        <v>0.26025984503676197</v>
      </c>
      <c r="Z33" s="73"/>
      <c r="AD33" s="49">
        <v>20161.599999999999</v>
      </c>
      <c r="AE33">
        <v>38150</v>
      </c>
      <c r="AF33">
        <v>12254</v>
      </c>
      <c r="AG33">
        <v>13509</v>
      </c>
      <c r="AH33">
        <v>0</v>
      </c>
      <c r="AI33">
        <v>0</v>
      </c>
      <c r="AJ33" s="27">
        <v>0.17723874506219192</v>
      </c>
      <c r="AL33" s="73"/>
      <c r="AP33" s="49">
        <v>26570.880000000005</v>
      </c>
      <c r="AQ33">
        <v>43854.400000000001</v>
      </c>
      <c r="AR33">
        <v>22572.799999999999</v>
      </c>
      <c r="AS33">
        <v>28423.200000000001</v>
      </c>
      <c r="AT33">
        <v>0</v>
      </c>
      <c r="AU33">
        <v>0</v>
      </c>
      <c r="AV33" s="27">
        <v>8.063692416284321E-2</v>
      </c>
      <c r="AX33" s="73"/>
      <c r="BB33" s="49">
        <v>26829.08</v>
      </c>
      <c r="BC33">
        <v>52437.9</v>
      </c>
      <c r="BD33">
        <v>14634.8</v>
      </c>
      <c r="BE33">
        <v>0</v>
      </c>
      <c r="BF33">
        <v>0</v>
      </c>
      <c r="BG33">
        <v>0</v>
      </c>
      <c r="BH33" s="27">
        <v>4.9847361226209842E-2</v>
      </c>
      <c r="BJ33" s="73"/>
      <c r="BN33" s="49">
        <v>38253.880000000005</v>
      </c>
      <c r="BO33">
        <v>80793.3</v>
      </c>
      <c r="BP33">
        <v>14841.4</v>
      </c>
      <c r="BQ33">
        <v>12688.4</v>
      </c>
      <c r="BR33">
        <v>0</v>
      </c>
      <c r="BS33">
        <v>0</v>
      </c>
      <c r="BT33" s="27">
        <v>6.3841263159955405E-2</v>
      </c>
      <c r="BV33" s="73"/>
      <c r="BZ33" s="49">
        <v>20503.2</v>
      </c>
      <c r="CA33">
        <v>36530</v>
      </c>
      <c r="CB33">
        <v>14728</v>
      </c>
      <c r="CC33">
        <v>11302</v>
      </c>
      <c r="CD33">
        <v>0</v>
      </c>
      <c r="CE33">
        <v>0</v>
      </c>
      <c r="CF33" s="27">
        <v>3.9797686507750632E-2</v>
      </c>
      <c r="CH33" s="73"/>
      <c r="CL33" s="49">
        <v>16326.8</v>
      </c>
      <c r="CM33">
        <v>24600</v>
      </c>
      <c r="CN33">
        <v>16217</v>
      </c>
      <c r="CO33">
        <v>9862</v>
      </c>
      <c r="CP33">
        <v>0</v>
      </c>
      <c r="CQ33">
        <v>0</v>
      </c>
      <c r="CS33" s="6"/>
      <c r="CW33" s="27">
        <v>9.4041834421801862E-2</v>
      </c>
      <c r="CX33" s="27">
        <v>0</v>
      </c>
    </row>
    <row r="34" spans="1:122" ht="20.399999999999999" hidden="1" customHeight="1" thickBot="1" x14ac:dyDescent="0.3">
      <c r="A34" s="14" t="s">
        <v>35</v>
      </c>
      <c r="B34" s="18"/>
      <c r="C34" s="18"/>
      <c r="D34" s="24">
        <v>12548.800000000001</v>
      </c>
      <c r="E34" s="5">
        <v>20963</v>
      </c>
      <c r="F34">
        <v>10409</v>
      </c>
      <c r="G34">
        <v>0</v>
      </c>
      <c r="H34">
        <v>0</v>
      </c>
      <c r="I34">
        <v>0</v>
      </c>
      <c r="J34" s="27">
        <v>9.6080712168972099E-2</v>
      </c>
      <c r="K34" s="27">
        <v>0</v>
      </c>
      <c r="L34" s="27">
        <v>7.2821846553966091E-2</v>
      </c>
      <c r="N34" s="73"/>
      <c r="R34" s="49">
        <v>37605.400000000009</v>
      </c>
      <c r="S34">
        <v>73466</v>
      </c>
      <c r="T34">
        <v>19948</v>
      </c>
      <c r="U34">
        <v>368</v>
      </c>
      <c r="V34">
        <v>0</v>
      </c>
      <c r="W34">
        <v>1199</v>
      </c>
      <c r="X34" s="27">
        <v>0.28444811471541853</v>
      </c>
      <c r="Z34" s="73"/>
      <c r="AD34" s="49">
        <v>20033.600000000002</v>
      </c>
      <c r="AE34">
        <v>37821</v>
      </c>
      <c r="AF34">
        <v>12263</v>
      </c>
      <c r="AG34">
        <v>12656</v>
      </c>
      <c r="AH34">
        <v>0</v>
      </c>
      <c r="AI34">
        <v>0</v>
      </c>
      <c r="AJ34" s="27">
        <v>0.18246221148509667</v>
      </c>
      <c r="AL34" s="73"/>
      <c r="AP34" s="49">
        <v>26568.16</v>
      </c>
      <c r="AQ34">
        <v>43851.6</v>
      </c>
      <c r="AR34">
        <v>22568.799999999999</v>
      </c>
      <c r="AS34">
        <v>32652</v>
      </c>
      <c r="AT34">
        <v>0</v>
      </c>
      <c r="AU34">
        <v>0</v>
      </c>
      <c r="AV34" s="27">
        <v>8.0731037250790672E-2</v>
      </c>
      <c r="AX34" s="73"/>
      <c r="BB34" s="49">
        <v>26867.439999999999</v>
      </c>
      <c r="BC34">
        <v>52546.2</v>
      </c>
      <c r="BD34">
        <v>14622.4</v>
      </c>
      <c r="BE34">
        <v>0</v>
      </c>
      <c r="BF34">
        <v>0</v>
      </c>
      <c r="BG34">
        <v>0</v>
      </c>
      <c r="BH34" s="27">
        <v>4.8488840724449825E-2</v>
      </c>
      <c r="BJ34" s="73"/>
      <c r="BN34" s="49">
        <v>38267.360000000001</v>
      </c>
      <c r="BO34">
        <v>80825.399999999994</v>
      </c>
      <c r="BP34">
        <v>14843</v>
      </c>
      <c r="BQ34">
        <v>12815.8</v>
      </c>
      <c r="BR34">
        <v>0</v>
      </c>
      <c r="BS34">
        <v>0</v>
      </c>
      <c r="BT34" s="27">
        <v>6.3511377151723045E-2</v>
      </c>
      <c r="BV34" s="73"/>
      <c r="BZ34" s="49">
        <v>20580.400000000001</v>
      </c>
      <c r="CA34">
        <v>36723</v>
      </c>
      <c r="CB34">
        <v>14728</v>
      </c>
      <c r="CC34">
        <v>11299</v>
      </c>
      <c r="CD34">
        <v>0</v>
      </c>
      <c r="CE34">
        <v>0</v>
      </c>
      <c r="CF34" s="27">
        <v>3.6182269470331971E-2</v>
      </c>
      <c r="CH34" s="73"/>
      <c r="CL34" s="49">
        <v>15771.2</v>
      </c>
      <c r="CM34">
        <v>23281</v>
      </c>
      <c r="CN34">
        <v>16147</v>
      </c>
      <c r="CO34">
        <v>10163</v>
      </c>
      <c r="CP34">
        <v>0</v>
      </c>
      <c r="CQ34">
        <v>0</v>
      </c>
      <c r="CS34" s="6"/>
      <c r="CW34" s="27">
        <v>9.6080712168972099E-2</v>
      </c>
      <c r="CX34" s="27">
        <v>0</v>
      </c>
    </row>
    <row r="35" spans="1:122" hidden="1" x14ac:dyDescent="0.3">
      <c r="A35" s="14" t="s">
        <v>35</v>
      </c>
      <c r="B35" s="18"/>
      <c r="C35" s="18"/>
      <c r="D35" s="24">
        <v>12798</v>
      </c>
      <c r="E35" s="5">
        <v>21632</v>
      </c>
      <c r="F35">
        <v>10363</v>
      </c>
      <c r="G35">
        <v>0</v>
      </c>
      <c r="H35">
        <v>0</v>
      </c>
      <c r="I35">
        <v>0</v>
      </c>
      <c r="J35" s="27">
        <v>9.1533123407458034E-2</v>
      </c>
      <c r="K35" s="27">
        <v>0</v>
      </c>
      <c r="L35" s="27">
        <v>5.4409504669582665E-2</v>
      </c>
      <c r="N35" s="73"/>
      <c r="R35" s="49">
        <v>38389.200000000004</v>
      </c>
      <c r="S35">
        <v>75314</v>
      </c>
      <c r="T35">
        <v>20148</v>
      </c>
      <c r="U35">
        <v>0</v>
      </c>
      <c r="V35">
        <v>0</v>
      </c>
      <c r="W35">
        <v>1022</v>
      </c>
      <c r="X35" s="27">
        <v>0.26953404472318199</v>
      </c>
      <c r="Z35" s="73"/>
      <c r="AD35" s="49">
        <v>20068</v>
      </c>
      <c r="AE35">
        <v>37906</v>
      </c>
      <c r="AF35">
        <v>12264</v>
      </c>
      <c r="AG35">
        <v>12833</v>
      </c>
      <c r="AH35">
        <v>0</v>
      </c>
      <c r="AI35">
        <v>0</v>
      </c>
      <c r="AJ35" s="27">
        <v>0.18105840488394109</v>
      </c>
      <c r="AL35" s="73"/>
      <c r="AP35" s="49">
        <v>26565.440000000002</v>
      </c>
      <c r="AQ35">
        <v>43848.800000000003</v>
      </c>
      <c r="AR35">
        <v>22564.799999999999</v>
      </c>
      <c r="AS35">
        <v>36880.800000000003</v>
      </c>
      <c r="AT35">
        <v>0</v>
      </c>
      <c r="AU35">
        <v>0</v>
      </c>
      <c r="AV35" s="27">
        <v>8.0825150338737883E-2</v>
      </c>
      <c r="AX35" s="73"/>
      <c r="BB35" s="49">
        <v>26905.800000000003</v>
      </c>
      <c r="BC35">
        <v>52654.5</v>
      </c>
      <c r="BD35">
        <v>14610</v>
      </c>
      <c r="BE35">
        <v>0</v>
      </c>
      <c r="BF35">
        <v>0</v>
      </c>
      <c r="BG35">
        <v>0</v>
      </c>
      <c r="BH35" s="27">
        <v>4.7130320222689551E-2</v>
      </c>
      <c r="BJ35" s="73"/>
      <c r="BN35" s="49">
        <v>38280.839999999997</v>
      </c>
      <c r="BO35">
        <v>80857.5</v>
      </c>
      <c r="BP35">
        <v>14844.6</v>
      </c>
      <c r="BQ35">
        <v>12943.2</v>
      </c>
      <c r="BR35">
        <v>0</v>
      </c>
      <c r="BS35">
        <v>0</v>
      </c>
      <c r="BT35" s="27">
        <v>6.318149114349067E-2</v>
      </c>
      <c r="BV35" s="73"/>
      <c r="BZ35" s="49">
        <v>20581.600000000002</v>
      </c>
      <c r="CA35">
        <v>36723</v>
      </c>
      <c r="CB35">
        <v>14731</v>
      </c>
      <c r="CC35">
        <v>11299</v>
      </c>
      <c r="CD35">
        <v>0</v>
      </c>
      <c r="CE35">
        <v>0</v>
      </c>
      <c r="CF35" s="27">
        <v>3.6126071278040454E-2</v>
      </c>
      <c r="CH35" s="73"/>
      <c r="CL35" s="49">
        <v>15771.2</v>
      </c>
      <c r="CM35">
        <v>23281</v>
      </c>
      <c r="CN35">
        <v>16147</v>
      </c>
      <c r="CO35">
        <v>10163</v>
      </c>
      <c r="CP35">
        <v>0</v>
      </c>
      <c r="CQ35">
        <v>0</v>
      </c>
      <c r="CS35" s="6"/>
      <c r="CW35" s="27">
        <v>9.1533123407458034E-2</v>
      </c>
      <c r="CX35" s="27">
        <v>0</v>
      </c>
    </row>
    <row r="36" spans="1:122" hidden="1" x14ac:dyDescent="0.3">
      <c r="A36" s="14" t="s">
        <v>35</v>
      </c>
      <c r="B36" s="18"/>
      <c r="C36" s="18"/>
      <c r="D36" s="24">
        <v>12426.400000000001</v>
      </c>
      <c r="E36" s="5">
        <v>20547</v>
      </c>
      <c r="F36">
        <v>10519</v>
      </c>
      <c r="G36">
        <v>0</v>
      </c>
      <c r="H36">
        <v>0</v>
      </c>
      <c r="I36">
        <v>0</v>
      </c>
      <c r="J36" s="27">
        <v>9.6459754170327372E-2</v>
      </c>
      <c r="K36" s="27">
        <v>0</v>
      </c>
      <c r="L36" s="27">
        <v>8.1865468731528418E-2</v>
      </c>
      <c r="N36" s="73"/>
      <c r="R36" s="49">
        <v>37896.6</v>
      </c>
      <c r="S36">
        <v>74328</v>
      </c>
      <c r="T36">
        <v>19998</v>
      </c>
      <c r="U36">
        <v>736</v>
      </c>
      <c r="V36">
        <v>0</v>
      </c>
      <c r="W36">
        <v>831</v>
      </c>
      <c r="X36" s="27">
        <v>0.27890718950268678</v>
      </c>
      <c r="Z36" s="73"/>
      <c r="AD36" s="49">
        <v>19962.400000000001</v>
      </c>
      <c r="AE36">
        <v>37680</v>
      </c>
      <c r="AF36">
        <v>12226</v>
      </c>
      <c r="AG36">
        <v>12767</v>
      </c>
      <c r="AH36">
        <v>0</v>
      </c>
      <c r="AI36">
        <v>0</v>
      </c>
      <c r="AJ36" s="27">
        <v>0.18536776468283755</v>
      </c>
      <c r="AL36" s="73"/>
      <c r="AP36" s="49">
        <v>26562.720000000001</v>
      </c>
      <c r="AQ36">
        <v>43846</v>
      </c>
      <c r="AR36">
        <v>22560.799999999999</v>
      </c>
      <c r="AS36">
        <v>41109.599999999999</v>
      </c>
      <c r="AT36">
        <v>0</v>
      </c>
      <c r="AU36">
        <v>0</v>
      </c>
      <c r="AV36" s="27">
        <v>8.091926342668522E-2</v>
      </c>
      <c r="AX36" s="73"/>
      <c r="BB36" s="49">
        <v>26944.160000000003</v>
      </c>
      <c r="BC36">
        <v>52762.8</v>
      </c>
      <c r="BD36">
        <v>14597.6</v>
      </c>
      <c r="BE36">
        <v>0</v>
      </c>
      <c r="BF36">
        <v>0</v>
      </c>
      <c r="BG36">
        <v>0</v>
      </c>
      <c r="BH36" s="27">
        <v>4.5771799720929401E-2</v>
      </c>
      <c r="BJ36" s="73"/>
      <c r="BN36" s="49">
        <v>38294.320000000007</v>
      </c>
      <c r="BO36">
        <v>80889.600000000006</v>
      </c>
      <c r="BP36">
        <v>14846.2</v>
      </c>
      <c r="BQ36">
        <v>13070.6</v>
      </c>
      <c r="BR36">
        <v>0</v>
      </c>
      <c r="BS36">
        <v>0</v>
      </c>
      <c r="BT36" s="27">
        <v>6.2851605135257949E-2</v>
      </c>
      <c r="BV36" s="73"/>
      <c r="BZ36" s="49">
        <v>20584.400000000001</v>
      </c>
      <c r="CA36">
        <v>36723</v>
      </c>
      <c r="CB36">
        <v>14738</v>
      </c>
      <c r="CC36">
        <v>11299</v>
      </c>
      <c r="CD36">
        <v>0</v>
      </c>
      <c r="CE36">
        <v>0</v>
      </c>
      <c r="CF36" s="27">
        <v>3.5994942162693701E-2</v>
      </c>
      <c r="CH36" s="73"/>
      <c r="CL36" s="49">
        <v>15771.2</v>
      </c>
      <c r="CM36">
        <v>23281</v>
      </c>
      <c r="CN36">
        <v>16147</v>
      </c>
      <c r="CO36">
        <v>10163</v>
      </c>
      <c r="CP36">
        <v>0</v>
      </c>
      <c r="CQ36">
        <v>0</v>
      </c>
      <c r="CS36" s="6"/>
      <c r="CW36" s="27">
        <v>9.6459754170327372E-2</v>
      </c>
      <c r="CX36" s="27">
        <v>0</v>
      </c>
    </row>
    <row r="37" spans="1:122" hidden="1" x14ac:dyDescent="0.3">
      <c r="A37" s="14" t="s">
        <v>35</v>
      </c>
      <c r="B37" s="18"/>
      <c r="C37" s="18"/>
      <c r="D37" s="24">
        <v>12858</v>
      </c>
      <c r="E37" s="5">
        <v>21656</v>
      </c>
      <c r="F37">
        <v>10489</v>
      </c>
      <c r="G37">
        <v>0</v>
      </c>
      <c r="H37">
        <v>0</v>
      </c>
      <c r="I37">
        <v>0</v>
      </c>
      <c r="J37" s="27">
        <v>9.0495240881122596E-2</v>
      </c>
      <c r="K37" s="27">
        <v>0</v>
      </c>
      <c r="L37" s="27">
        <v>4.9976356543326605E-2</v>
      </c>
      <c r="N37" s="73"/>
      <c r="R37" s="49">
        <v>38470.600000000006</v>
      </c>
      <c r="S37">
        <v>75417</v>
      </c>
      <c r="T37">
        <v>20282</v>
      </c>
      <c r="U37">
        <v>505</v>
      </c>
      <c r="V37">
        <v>0</v>
      </c>
      <c r="W37">
        <v>955</v>
      </c>
      <c r="X37" s="27">
        <v>0.26798517345835926</v>
      </c>
      <c r="Z37" s="73"/>
      <c r="AD37" s="49">
        <v>20047.2</v>
      </c>
      <c r="AE37">
        <v>37852</v>
      </c>
      <c r="AF37">
        <v>12266</v>
      </c>
      <c r="AG37">
        <v>12345</v>
      </c>
      <c r="AH37">
        <v>0</v>
      </c>
      <c r="AI37">
        <v>0</v>
      </c>
      <c r="AJ37" s="27">
        <v>0.18190721817766309</v>
      </c>
      <c r="AL37" s="73"/>
      <c r="AP37" s="49">
        <v>26560</v>
      </c>
      <c r="AQ37">
        <v>43843.199999999997</v>
      </c>
      <c r="AR37">
        <v>22556.799999999999</v>
      </c>
      <c r="AS37">
        <v>45338.400000000001</v>
      </c>
      <c r="AT37">
        <v>0</v>
      </c>
      <c r="AU37">
        <v>0</v>
      </c>
      <c r="AV37" s="27">
        <v>8.1013376514632557E-2</v>
      </c>
      <c r="AX37" s="73"/>
      <c r="BB37" s="49">
        <v>26982.520000000004</v>
      </c>
      <c r="BC37">
        <v>52871.1</v>
      </c>
      <c r="BD37">
        <v>14585.2</v>
      </c>
      <c r="BE37">
        <v>0</v>
      </c>
      <c r="BF37">
        <v>0</v>
      </c>
      <c r="BG37">
        <v>0</v>
      </c>
      <c r="BH37" s="27">
        <v>4.4413279219169252E-2</v>
      </c>
      <c r="BJ37" s="73"/>
      <c r="BN37" s="49">
        <v>38307.800000000003</v>
      </c>
      <c r="BO37">
        <v>80921.7</v>
      </c>
      <c r="BP37">
        <v>14847.8</v>
      </c>
      <c r="BQ37">
        <v>13198</v>
      </c>
      <c r="BR37">
        <v>0</v>
      </c>
      <c r="BS37">
        <v>0</v>
      </c>
      <c r="BT37" s="27">
        <v>6.2521719127025588E-2</v>
      </c>
      <c r="BV37" s="73"/>
      <c r="BZ37" s="49">
        <v>20581.2</v>
      </c>
      <c r="CA37">
        <v>36723</v>
      </c>
      <c r="CB37">
        <v>14730</v>
      </c>
      <c r="CC37">
        <v>11293</v>
      </c>
      <c r="CD37">
        <v>0</v>
      </c>
      <c r="CE37">
        <v>0</v>
      </c>
      <c r="CF37" s="27">
        <v>3.6144804008804349E-2</v>
      </c>
      <c r="CH37" s="73"/>
      <c r="CL37" s="49">
        <v>16125.600000000002</v>
      </c>
      <c r="CM37">
        <v>24122</v>
      </c>
      <c r="CN37">
        <v>16192</v>
      </c>
      <c r="CO37">
        <v>9235</v>
      </c>
      <c r="CP37">
        <v>0</v>
      </c>
      <c r="CQ37">
        <v>0</v>
      </c>
      <c r="CS37" s="6"/>
      <c r="CW37" s="27">
        <v>9.0495240881122596E-2</v>
      </c>
      <c r="CX37" s="27">
        <v>0</v>
      </c>
    </row>
    <row r="38" spans="1:122" s="4" customFormat="1" ht="15" thickBot="1" x14ac:dyDescent="0.35">
      <c r="A38" s="16" t="s">
        <v>35</v>
      </c>
      <c r="B38" s="110" t="s">
        <v>45</v>
      </c>
      <c r="C38" s="110">
        <v>22829</v>
      </c>
      <c r="D38" s="111">
        <v>12614.640000000001</v>
      </c>
      <c r="E38" s="8">
        <v>21070.6</v>
      </c>
      <c r="F38" s="9">
        <v>10466</v>
      </c>
      <c r="G38" s="9">
        <v>0</v>
      </c>
      <c r="H38" s="9">
        <v>0</v>
      </c>
      <c r="I38" s="9">
        <v>0</v>
      </c>
      <c r="J38" s="76">
        <v>0.11333124043965712</v>
      </c>
      <c r="K38" s="76">
        <v>4.7769129872170359E-3</v>
      </c>
      <c r="L38" s="76">
        <v>6.795720534342109E-2</v>
      </c>
      <c r="M38" s="76">
        <v>1.4888436098902046E-2</v>
      </c>
      <c r="N38" s="112">
        <v>7.7024836830347429E-2</v>
      </c>
      <c r="O38" s="76" t="e">
        <v>#DIV/0!</v>
      </c>
      <c r="P38" s="75">
        <v>52555.4</v>
      </c>
      <c r="Q38" s="113">
        <v>81057</v>
      </c>
      <c r="R38" s="114">
        <v>38247.680000000008</v>
      </c>
      <c r="S38" s="75">
        <v>75042.8</v>
      </c>
      <c r="T38" s="75">
        <v>20155.400000000001</v>
      </c>
      <c r="U38" s="75">
        <v>321.8</v>
      </c>
      <c r="V38" s="75">
        <v>0</v>
      </c>
      <c r="W38" s="75">
        <v>842</v>
      </c>
      <c r="X38" s="76">
        <v>0.27224072121989357</v>
      </c>
      <c r="Y38" s="76">
        <v>9.5189084858199619E-3</v>
      </c>
      <c r="Z38" s="112">
        <v>7.4197169892791459E-2</v>
      </c>
      <c r="AA38" s="76" t="e">
        <v>#DIV/0!</v>
      </c>
      <c r="AB38" s="75">
        <v>24505.8</v>
      </c>
      <c r="AC38" s="75">
        <v>48120</v>
      </c>
      <c r="AD38" s="114">
        <v>20054.560000000001</v>
      </c>
      <c r="AE38" s="75">
        <v>37881.800000000003</v>
      </c>
      <c r="AF38" s="75">
        <v>12254.6</v>
      </c>
      <c r="AG38" s="75">
        <v>12822</v>
      </c>
      <c r="AH38" s="75">
        <v>0</v>
      </c>
      <c r="AI38" s="75">
        <v>0</v>
      </c>
      <c r="AJ38" s="76">
        <v>0.18164026475365008</v>
      </c>
      <c r="AK38" s="76">
        <v>2.9303360027126807E-3</v>
      </c>
      <c r="AL38" s="112">
        <v>0.21276392352452198</v>
      </c>
      <c r="AM38" s="76" t="e">
        <v>#DIV/0!</v>
      </c>
      <c r="AN38" s="75">
        <v>28903.4</v>
      </c>
      <c r="AO38" s="75">
        <v>48676</v>
      </c>
      <c r="AP38" s="114">
        <v>26565.440000000002</v>
      </c>
      <c r="AQ38" s="75">
        <v>43848.800000000003</v>
      </c>
      <c r="AR38" s="75">
        <v>22564.799999999999</v>
      </c>
      <c r="AS38" s="75">
        <v>36880.800000000003</v>
      </c>
      <c r="AT38" s="75">
        <v>0</v>
      </c>
      <c r="AU38" s="75">
        <v>0</v>
      </c>
      <c r="AV38" s="76">
        <v>8.0888753572244065E-2</v>
      </c>
      <c r="AW38" s="115">
        <v>1.4880585777264272E-4</v>
      </c>
      <c r="AX38" s="112">
        <v>9.9170022187525617E-2</v>
      </c>
      <c r="AY38" s="76" t="e">
        <v>#DIV/0!</v>
      </c>
      <c r="AZ38" s="75">
        <v>28238.6</v>
      </c>
      <c r="BA38" s="75">
        <v>55474</v>
      </c>
      <c r="BB38" s="114">
        <v>26905.8</v>
      </c>
      <c r="BC38" s="75">
        <v>52654.5</v>
      </c>
      <c r="BD38" s="75">
        <v>14610</v>
      </c>
      <c r="BE38" s="75">
        <v>0</v>
      </c>
      <c r="BF38" s="75">
        <v>0</v>
      </c>
      <c r="BG38" s="75">
        <v>0</v>
      </c>
      <c r="BH38" s="76">
        <v>4.719780725673367E-2</v>
      </c>
      <c r="BI38" s="115">
        <v>2.1480095167984463E-3</v>
      </c>
      <c r="BJ38" s="112">
        <v>5.0825611998413671E-2</v>
      </c>
      <c r="BK38" s="76" t="e">
        <v>#DIV/0!</v>
      </c>
      <c r="BL38" s="75">
        <v>40864.6</v>
      </c>
      <c r="BM38" s="75">
        <v>86423</v>
      </c>
      <c r="BN38" s="114">
        <v>38280.840000000004</v>
      </c>
      <c r="BO38" s="75">
        <v>80857.500000000015</v>
      </c>
      <c r="BP38" s="75">
        <v>14844.6</v>
      </c>
      <c r="BQ38" s="75">
        <v>12943.199999999999</v>
      </c>
      <c r="BR38" s="75">
        <v>0</v>
      </c>
      <c r="BS38" s="75">
        <v>0</v>
      </c>
      <c r="BT38" s="131">
        <v>6.4983016670092403E-2</v>
      </c>
      <c r="BU38" s="131">
        <v>9.1814317313305234E-4</v>
      </c>
      <c r="BV38" s="112">
        <v>6.4398366175670657E-2</v>
      </c>
      <c r="BW38" s="76" t="e">
        <v>#DIV/0!</v>
      </c>
      <c r="BX38" s="75">
        <v>21355</v>
      </c>
      <c r="BY38" s="75">
        <v>38534</v>
      </c>
      <c r="BZ38" s="114">
        <v>20566.16</v>
      </c>
      <c r="CA38" s="75">
        <v>36684.400000000001</v>
      </c>
      <c r="CB38" s="75">
        <v>14731</v>
      </c>
      <c r="CC38" s="75">
        <v>11298.4</v>
      </c>
      <c r="CD38" s="75">
        <v>0</v>
      </c>
      <c r="CE38" s="75">
        <v>0</v>
      </c>
      <c r="CF38" s="76">
        <v>3.6939358464059949E-2</v>
      </c>
      <c r="CG38" s="76">
        <v>1.6497889502189646E-3</v>
      </c>
      <c r="CH38" s="112">
        <v>4.7999169564540367E-2</v>
      </c>
      <c r="CI38" s="76" t="e">
        <v>#DIV/0!</v>
      </c>
      <c r="CJ38" s="75">
        <v>18539.2</v>
      </c>
      <c r="CK38" s="75">
        <v>28067</v>
      </c>
      <c r="CL38" s="114">
        <v>15669.280000000002</v>
      </c>
      <c r="CM38" s="75">
        <v>23038.2</v>
      </c>
      <c r="CN38" s="75">
        <v>16135</v>
      </c>
      <c r="CO38" s="75">
        <v>9789.4</v>
      </c>
      <c r="CP38" s="75">
        <v>0</v>
      </c>
      <c r="CQ38" s="75">
        <v>0</v>
      </c>
      <c r="CR38" s="76">
        <v>0.15480279623716223</v>
      </c>
      <c r="CS38" s="77">
        <v>6.0128758123784943E-3</v>
      </c>
      <c r="CT38" s="73">
        <v>0.17917126874977729</v>
      </c>
      <c r="CU38" s="27" t="e">
        <v>#DIV/0!</v>
      </c>
      <c r="CV38"/>
      <c r="CW38" s="27">
        <v>0.11333124043965712</v>
      </c>
      <c r="CX38" s="27">
        <v>4.7769129872170359E-3</v>
      </c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</row>
    <row r="39" spans="1:122" x14ac:dyDescent="0.3">
      <c r="AF39" s="1"/>
      <c r="AG39" s="1"/>
    </row>
    <row r="40" spans="1:122" x14ac:dyDescent="0.3">
      <c r="X40" s="83"/>
      <c r="Y40" s="83"/>
      <c r="AF40" s="1"/>
      <c r="AG40" s="1"/>
      <c r="AJ40" s="83"/>
      <c r="AK40" s="83"/>
      <c r="BT40" s="83"/>
      <c r="BU40" s="83"/>
      <c r="CL40" s="49"/>
      <c r="CR40" s="27"/>
      <c r="CS40" s="27"/>
      <c r="CT40" s="73"/>
      <c r="CU40" s="27"/>
    </row>
    <row r="41" spans="1:122" x14ac:dyDescent="0.3">
      <c r="CF41" s="27"/>
      <c r="CG41" s="84"/>
      <c r="CL41" s="49"/>
      <c r="CR41" s="27"/>
      <c r="CS41" s="27"/>
      <c r="CT41" s="73"/>
      <c r="CU41" s="27"/>
    </row>
    <row r="42" spans="1:122" x14ac:dyDescent="0.3">
      <c r="AP42" s="49"/>
      <c r="AV42" s="27"/>
      <c r="AW42" s="27"/>
      <c r="AX42" s="73"/>
      <c r="AY42" s="27"/>
      <c r="CR42" s="83"/>
      <c r="CS42" s="83"/>
    </row>
    <row r="50" spans="1:18" x14ac:dyDescent="0.3">
      <c r="A50" s="2"/>
      <c r="B50" s="2"/>
      <c r="C50" s="2"/>
      <c r="D50" s="2"/>
      <c r="R50" s="2"/>
    </row>
  </sheetData>
  <mergeCells count="8">
    <mergeCell ref="L1:M1"/>
    <mergeCell ref="P1:AA1"/>
    <mergeCell ref="AB1:AM1"/>
    <mergeCell ref="BX1:CI1"/>
    <mergeCell ref="CJ1:CU1"/>
    <mergeCell ref="AN1:AY1"/>
    <mergeCell ref="AZ1:BK1"/>
    <mergeCell ref="BL1:BW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49077-9455-402A-8359-05CFA0BB798F}">
  <dimension ref="A1:GY54"/>
  <sheetViews>
    <sheetView zoomScale="70" zoomScaleNormal="70" workbookViewId="0">
      <selection activeCell="BH45" sqref="BH45"/>
    </sheetView>
  </sheetViews>
  <sheetFormatPr defaultRowHeight="14.4" x14ac:dyDescent="0.3"/>
  <cols>
    <col min="1" max="1" width="9.33203125" customWidth="1"/>
    <col min="2" max="3" width="12.77734375" hidden="1" customWidth="1"/>
    <col min="4" max="4" width="21.88671875" hidden="1" customWidth="1"/>
    <col min="5" max="5" width="12.33203125" hidden="1" customWidth="1"/>
    <col min="6" max="6" width="8.77734375" hidden="1" customWidth="1"/>
    <col min="7" max="7" width="15.5546875" hidden="1" customWidth="1"/>
    <col min="8" max="8" width="17.5546875" hidden="1" customWidth="1"/>
    <col min="9" max="9" width="17" hidden="1" customWidth="1"/>
    <col min="10" max="10" width="16.109375" bestFit="1" customWidth="1"/>
    <col min="11" max="11" width="12" customWidth="1"/>
    <col min="12" max="13" width="17" customWidth="1"/>
    <col min="14" max="17" width="17" hidden="1" customWidth="1"/>
    <col min="18" max="18" width="13.5546875" hidden="1" customWidth="1"/>
    <col min="19" max="19" width="12.33203125" hidden="1" customWidth="1"/>
    <col min="20" max="20" width="8.77734375" hidden="1" customWidth="1"/>
    <col min="21" max="21" width="15.5546875" hidden="1" customWidth="1"/>
    <col min="22" max="22" width="17.5546875" hidden="1" customWidth="1"/>
    <col min="23" max="23" width="17" hidden="1" customWidth="1"/>
    <col min="24" max="25" width="17" customWidth="1"/>
    <col min="26" max="30" width="17" hidden="1" customWidth="1"/>
    <col min="31" max="31" width="12.33203125" hidden="1" customWidth="1"/>
    <col min="32" max="32" width="8.77734375" hidden="1" customWidth="1"/>
    <col min="33" max="33" width="15.5546875" hidden="1" customWidth="1"/>
    <col min="34" max="34" width="17.5546875" hidden="1" customWidth="1"/>
    <col min="35" max="35" width="17" hidden="1" customWidth="1"/>
    <col min="36" max="37" width="17" customWidth="1"/>
    <col min="38" max="42" width="17" hidden="1" customWidth="1"/>
    <col min="43" max="43" width="12.33203125" hidden="1" customWidth="1"/>
    <col min="44" max="44" width="8.77734375" hidden="1" customWidth="1"/>
    <col min="45" max="45" width="15.5546875" hidden="1" customWidth="1"/>
    <col min="46" max="46" width="17.5546875" hidden="1" customWidth="1"/>
    <col min="47" max="47" width="17" hidden="1" customWidth="1"/>
    <col min="48" max="49" width="17" customWidth="1"/>
    <col min="50" max="54" width="17" hidden="1" customWidth="1"/>
    <col min="55" max="55" width="12.33203125" hidden="1" customWidth="1"/>
    <col min="56" max="56" width="8.77734375" hidden="1" customWidth="1"/>
    <col min="57" max="57" width="15.5546875" hidden="1" customWidth="1"/>
    <col min="58" max="58" width="17.5546875" hidden="1" customWidth="1"/>
    <col min="59" max="59" width="17" hidden="1" customWidth="1"/>
    <col min="60" max="61" width="17" customWidth="1"/>
    <col min="62" max="66" width="17" hidden="1" customWidth="1"/>
    <col min="67" max="67" width="12.33203125" hidden="1" customWidth="1"/>
    <col min="68" max="68" width="8.77734375" hidden="1" customWidth="1"/>
    <col min="69" max="69" width="15.5546875" hidden="1" customWidth="1"/>
    <col min="70" max="70" width="17.5546875" hidden="1" customWidth="1"/>
    <col min="71" max="71" width="17" hidden="1" customWidth="1"/>
    <col min="72" max="73" width="17" customWidth="1"/>
    <col min="74" max="78" width="17" hidden="1" customWidth="1"/>
    <col min="79" max="79" width="12.33203125" hidden="1" customWidth="1"/>
    <col min="80" max="80" width="8.77734375" hidden="1" customWidth="1"/>
    <col min="81" max="81" width="15.5546875" hidden="1" customWidth="1"/>
    <col min="82" max="82" width="17.5546875" hidden="1" customWidth="1"/>
    <col min="83" max="83" width="17" hidden="1" customWidth="1"/>
    <col min="84" max="85" width="17" customWidth="1"/>
    <col min="86" max="90" width="17" hidden="1" customWidth="1"/>
    <col min="91" max="91" width="12.33203125" hidden="1" customWidth="1"/>
    <col min="92" max="92" width="8.77734375" hidden="1" customWidth="1"/>
    <col min="93" max="93" width="15.5546875" hidden="1" customWidth="1"/>
    <col min="94" max="94" width="17.5546875" hidden="1" customWidth="1"/>
    <col min="95" max="95" width="17" hidden="1" customWidth="1"/>
    <col min="96" max="97" width="17" customWidth="1"/>
    <col min="98" max="99" width="17" hidden="1" customWidth="1"/>
    <col min="100" max="100" width="7.109375" bestFit="1" customWidth="1"/>
    <col min="101" max="101" width="16.109375" bestFit="1" customWidth="1"/>
    <col min="102" max="102" width="12" customWidth="1"/>
    <col min="103" max="207" width="7.109375" bestFit="1" customWidth="1"/>
  </cols>
  <sheetData>
    <row r="1" spans="1:207" s="75" customFormat="1" ht="15" customHeight="1" thickBot="1" x14ac:dyDescent="0.35">
      <c r="A1" s="92" t="s">
        <v>58</v>
      </c>
      <c r="B1" s="101" t="s">
        <v>24</v>
      </c>
      <c r="C1" s="102"/>
      <c r="D1" s="102"/>
      <c r="E1" s="102"/>
      <c r="F1" s="102"/>
      <c r="G1" s="102"/>
      <c r="H1" s="102"/>
      <c r="I1" s="102"/>
      <c r="J1" s="104"/>
      <c r="K1" s="104"/>
      <c r="L1" s="135" t="s">
        <v>24</v>
      </c>
      <c r="M1" s="135"/>
      <c r="N1" s="102"/>
      <c r="O1" s="103"/>
      <c r="P1" s="145" t="s">
        <v>4</v>
      </c>
      <c r="Q1" s="146"/>
      <c r="R1" s="146"/>
      <c r="S1" s="146"/>
      <c r="T1" s="146"/>
      <c r="U1" s="146"/>
      <c r="V1" s="146"/>
      <c r="W1" s="146"/>
      <c r="X1" s="146"/>
      <c r="Y1" s="146"/>
      <c r="Z1" s="146"/>
      <c r="AA1" s="147"/>
      <c r="AB1" s="148" t="s">
        <v>5</v>
      </c>
      <c r="AC1" s="148"/>
      <c r="AD1" s="148"/>
      <c r="AE1" s="148"/>
      <c r="AF1" s="148"/>
      <c r="AG1" s="148"/>
      <c r="AH1" s="148"/>
      <c r="AI1" s="148"/>
      <c r="AJ1" s="148"/>
      <c r="AK1" s="148"/>
      <c r="AL1" s="148"/>
      <c r="AM1" s="148"/>
      <c r="AN1" s="146" t="s">
        <v>1</v>
      </c>
      <c r="AO1" s="146"/>
      <c r="AP1" s="146"/>
      <c r="AQ1" s="146"/>
      <c r="AR1" s="146"/>
      <c r="AS1" s="146"/>
      <c r="AT1" s="146"/>
      <c r="AU1" s="146"/>
      <c r="AV1" s="146"/>
      <c r="AW1" s="146"/>
      <c r="AX1" s="146"/>
      <c r="AY1" s="146"/>
      <c r="AZ1" s="148" t="s">
        <v>2</v>
      </c>
      <c r="BA1" s="148"/>
      <c r="BB1" s="148"/>
      <c r="BC1" s="148"/>
      <c r="BD1" s="148"/>
      <c r="BE1" s="148"/>
      <c r="BF1" s="148"/>
      <c r="BG1" s="148"/>
      <c r="BH1" s="148"/>
      <c r="BI1" s="148"/>
      <c r="BJ1" s="148"/>
      <c r="BK1" s="148"/>
      <c r="BL1" s="146" t="s">
        <v>16</v>
      </c>
      <c r="BM1" s="146"/>
      <c r="BN1" s="146"/>
      <c r="BO1" s="146"/>
      <c r="BP1" s="146"/>
      <c r="BQ1" s="146"/>
      <c r="BR1" s="146"/>
      <c r="BS1" s="146"/>
      <c r="BT1" s="146"/>
      <c r="BU1" s="146"/>
      <c r="BV1" s="146"/>
      <c r="BW1" s="147"/>
      <c r="BX1" s="149" t="s">
        <v>3</v>
      </c>
      <c r="BY1" s="148"/>
      <c r="BZ1" s="148"/>
      <c r="CA1" s="148"/>
      <c r="CB1" s="148"/>
      <c r="CC1" s="148"/>
      <c r="CD1" s="148"/>
      <c r="CE1" s="148"/>
      <c r="CF1" s="148"/>
      <c r="CG1" s="148"/>
      <c r="CH1" s="148"/>
      <c r="CI1" s="148"/>
      <c r="CJ1" s="146" t="s">
        <v>17</v>
      </c>
      <c r="CK1" s="146"/>
      <c r="CL1" s="146"/>
      <c r="CM1" s="146"/>
      <c r="CN1" s="146"/>
      <c r="CO1" s="146"/>
      <c r="CP1" s="146"/>
      <c r="CQ1" s="146"/>
      <c r="CR1" s="146"/>
      <c r="CS1" s="146"/>
      <c r="CT1" s="146"/>
      <c r="CU1" s="147"/>
    </row>
    <row r="2" spans="1:207" s="75" customFormat="1" ht="15" thickBot="1" x14ac:dyDescent="0.35">
      <c r="A2" s="132" t="s">
        <v>60</v>
      </c>
      <c r="B2" s="88" t="s">
        <v>23</v>
      </c>
      <c r="C2" s="88"/>
      <c r="D2" s="89" t="s">
        <v>20</v>
      </c>
      <c r="E2" s="89" t="s">
        <v>11</v>
      </c>
      <c r="F2" s="90" t="s">
        <v>12</v>
      </c>
      <c r="G2" s="90" t="s">
        <v>13</v>
      </c>
      <c r="H2" s="90" t="s">
        <v>14</v>
      </c>
      <c r="I2" s="91" t="s">
        <v>15</v>
      </c>
      <c r="J2" s="90" t="s">
        <v>56</v>
      </c>
      <c r="K2" s="90" t="s">
        <v>57</v>
      </c>
      <c r="L2" s="90" t="s">
        <v>21</v>
      </c>
      <c r="M2" s="90" t="s">
        <v>19</v>
      </c>
      <c r="N2" s="90" t="s">
        <v>22</v>
      </c>
      <c r="O2" s="91" t="s">
        <v>18</v>
      </c>
      <c r="P2" s="88" t="s">
        <v>23</v>
      </c>
      <c r="Q2" s="88"/>
      <c r="R2" s="89" t="s">
        <v>20</v>
      </c>
      <c r="S2" s="89" t="s">
        <v>11</v>
      </c>
      <c r="T2" s="90" t="s">
        <v>12</v>
      </c>
      <c r="U2" s="90" t="s">
        <v>13</v>
      </c>
      <c r="V2" s="90" t="s">
        <v>14</v>
      </c>
      <c r="W2" s="91" t="s">
        <v>15</v>
      </c>
      <c r="X2" s="90" t="s">
        <v>21</v>
      </c>
      <c r="Y2" s="90" t="s">
        <v>19</v>
      </c>
      <c r="Z2" s="90" t="s">
        <v>22</v>
      </c>
      <c r="AA2" s="91" t="s">
        <v>18</v>
      </c>
      <c r="AB2" s="88" t="s">
        <v>23</v>
      </c>
      <c r="AC2" s="88"/>
      <c r="AD2" s="89" t="s">
        <v>20</v>
      </c>
      <c r="AE2" s="89" t="s">
        <v>11</v>
      </c>
      <c r="AF2" s="90" t="s">
        <v>12</v>
      </c>
      <c r="AG2" s="90" t="s">
        <v>13</v>
      </c>
      <c r="AH2" s="90" t="s">
        <v>14</v>
      </c>
      <c r="AI2" s="91" t="s">
        <v>15</v>
      </c>
      <c r="AJ2" s="90" t="s">
        <v>21</v>
      </c>
      <c r="AK2" s="90" t="s">
        <v>19</v>
      </c>
      <c r="AL2" s="90" t="s">
        <v>22</v>
      </c>
      <c r="AM2" s="91" t="s">
        <v>18</v>
      </c>
      <c r="AN2" s="88" t="s">
        <v>23</v>
      </c>
      <c r="AO2" s="88"/>
      <c r="AP2" s="89" t="s">
        <v>20</v>
      </c>
      <c r="AQ2" s="89" t="s">
        <v>11</v>
      </c>
      <c r="AR2" s="90" t="s">
        <v>12</v>
      </c>
      <c r="AS2" s="90" t="s">
        <v>13</v>
      </c>
      <c r="AT2" s="90" t="s">
        <v>14</v>
      </c>
      <c r="AU2" s="91" t="s">
        <v>15</v>
      </c>
      <c r="AV2" s="90" t="s">
        <v>21</v>
      </c>
      <c r="AW2" s="90" t="s">
        <v>19</v>
      </c>
      <c r="AX2" s="90" t="s">
        <v>22</v>
      </c>
      <c r="AY2" s="91" t="s">
        <v>18</v>
      </c>
      <c r="AZ2" s="88" t="s">
        <v>23</v>
      </c>
      <c r="BA2" s="88"/>
      <c r="BB2" s="89" t="s">
        <v>20</v>
      </c>
      <c r="BC2" s="89" t="s">
        <v>11</v>
      </c>
      <c r="BD2" s="90" t="s">
        <v>12</v>
      </c>
      <c r="BE2" s="90" t="s">
        <v>13</v>
      </c>
      <c r="BF2" s="90" t="s">
        <v>14</v>
      </c>
      <c r="BG2" s="91" t="s">
        <v>15</v>
      </c>
      <c r="BH2" s="90" t="s">
        <v>21</v>
      </c>
      <c r="BI2" s="90" t="s">
        <v>19</v>
      </c>
      <c r="BJ2" s="90" t="s">
        <v>22</v>
      </c>
      <c r="BK2" s="91" t="s">
        <v>18</v>
      </c>
      <c r="BL2" s="88" t="s">
        <v>23</v>
      </c>
      <c r="BM2" s="88"/>
      <c r="BN2" s="89" t="s">
        <v>20</v>
      </c>
      <c r="BO2" s="89" t="s">
        <v>11</v>
      </c>
      <c r="BP2" s="90" t="s">
        <v>12</v>
      </c>
      <c r="BQ2" s="90" t="s">
        <v>13</v>
      </c>
      <c r="BR2" s="90" t="s">
        <v>14</v>
      </c>
      <c r="BS2" s="91" t="s">
        <v>15</v>
      </c>
      <c r="BT2" s="90" t="s">
        <v>21</v>
      </c>
      <c r="BU2" s="90" t="s">
        <v>19</v>
      </c>
      <c r="BV2" s="90" t="s">
        <v>22</v>
      </c>
      <c r="BW2" s="91" t="s">
        <v>18</v>
      </c>
      <c r="BX2" s="88" t="s">
        <v>23</v>
      </c>
      <c r="BY2" s="88"/>
      <c r="BZ2" s="89" t="s">
        <v>20</v>
      </c>
      <c r="CA2" s="89" t="s">
        <v>11</v>
      </c>
      <c r="CB2" s="90" t="s">
        <v>12</v>
      </c>
      <c r="CC2" s="90" t="s">
        <v>13</v>
      </c>
      <c r="CD2" s="90" t="s">
        <v>14</v>
      </c>
      <c r="CE2" s="91" t="s">
        <v>15</v>
      </c>
      <c r="CF2" s="90" t="s">
        <v>21</v>
      </c>
      <c r="CG2" s="90" t="s">
        <v>19</v>
      </c>
      <c r="CH2" s="90" t="s">
        <v>22</v>
      </c>
      <c r="CI2" s="91" t="s">
        <v>18</v>
      </c>
      <c r="CJ2" s="88" t="s">
        <v>23</v>
      </c>
      <c r="CK2" s="88"/>
      <c r="CL2" s="89" t="s">
        <v>20</v>
      </c>
      <c r="CM2" s="89" t="s">
        <v>11</v>
      </c>
      <c r="CN2" s="90" t="s">
        <v>12</v>
      </c>
      <c r="CO2" s="90" t="s">
        <v>13</v>
      </c>
      <c r="CP2" s="90" t="s">
        <v>14</v>
      </c>
      <c r="CQ2" s="91" t="s">
        <v>15</v>
      </c>
      <c r="CR2" s="90" t="s">
        <v>21</v>
      </c>
      <c r="CS2" s="90" t="s">
        <v>19</v>
      </c>
      <c r="CT2" s="90" t="s">
        <v>22</v>
      </c>
      <c r="CU2" s="91" t="s">
        <v>18</v>
      </c>
      <c r="CW2" s="90" t="s">
        <v>53</v>
      </c>
      <c r="CX2" s="90" t="s">
        <v>54</v>
      </c>
    </row>
    <row r="3" spans="1:207" ht="15.6" hidden="1" x14ac:dyDescent="0.3">
      <c r="A3" s="38">
        <v>0.2</v>
      </c>
      <c r="B3" s="23"/>
      <c r="C3" s="23"/>
      <c r="D3" s="24">
        <f>0.4 * E3 + 0.4 * F3 + 0.2 * I3</f>
        <v>12814.4</v>
      </c>
      <c r="E3" s="5">
        <v>21666</v>
      </c>
      <c r="F3">
        <v>10370</v>
      </c>
      <c r="G3">
        <v>0</v>
      </c>
      <c r="H3">
        <v>0</v>
      </c>
      <c r="I3" s="6">
        <v>0</v>
      </c>
      <c r="L3" s="50">
        <f>($B$8-D3)/$B$8</f>
        <v>5.3169794591399464E-2</v>
      </c>
      <c r="N3" s="51"/>
      <c r="O3" s="6"/>
      <c r="R3" s="24">
        <f>0.4 * S3 + 0.4 * T3 + 0.2 * W3</f>
        <v>39356.800000000003</v>
      </c>
      <c r="S3" s="5">
        <v>77835</v>
      </c>
      <c r="T3">
        <v>20480</v>
      </c>
      <c r="U3">
        <v>723</v>
      </c>
      <c r="V3">
        <v>0</v>
      </c>
      <c r="W3" s="6">
        <v>154</v>
      </c>
      <c r="X3" s="50">
        <f>($P$8-R3)/$P$8</f>
        <v>0.25106564364876383</v>
      </c>
      <c r="Z3" s="51"/>
      <c r="AA3" s="6"/>
      <c r="AB3" s="6"/>
      <c r="AD3" s="24">
        <f>0.4 * AE3 + 0.4 * AF3 + 0.2 * AI3</f>
        <v>19987.2</v>
      </c>
      <c r="AE3" s="5">
        <v>37730</v>
      </c>
      <c r="AF3">
        <v>12238</v>
      </c>
      <c r="AG3">
        <v>12659</v>
      </c>
      <c r="AH3">
        <v>0</v>
      </c>
      <c r="AI3">
        <v>0</v>
      </c>
      <c r="AJ3" s="50">
        <f>($AB$8-AD3)/$AB$8</f>
        <v>0.18422255599817144</v>
      </c>
      <c r="AL3" s="51"/>
      <c r="AM3" s="6"/>
      <c r="AN3" s="6"/>
      <c r="AP3" s="24">
        <f>0.4 * AQ3 + 0.4 * AR3 + 0.2 * AU3</f>
        <v>29610</v>
      </c>
      <c r="AQ3" s="39">
        <v>51109</v>
      </c>
      <c r="AR3" s="39">
        <v>22916</v>
      </c>
      <c r="AS3" s="39">
        <v>25030</v>
      </c>
      <c r="AT3">
        <v>0</v>
      </c>
      <c r="AU3" s="6">
        <v>0</v>
      </c>
      <c r="AV3" s="50">
        <f>($AN$8-AP3)/$AN$8</f>
        <v>-2.4624200647786677E-2</v>
      </c>
      <c r="AX3" s="51"/>
      <c r="AY3" s="6"/>
      <c r="AZ3" s="6"/>
      <c r="BB3" s="24">
        <f>0.4 * BC3 + 0.4 * BD3 + 0.2 * BG3</f>
        <v>26586</v>
      </c>
      <c r="BC3" s="39">
        <v>51740</v>
      </c>
      <c r="BD3" s="39">
        <v>14725</v>
      </c>
      <c r="BE3">
        <v>0</v>
      </c>
      <c r="BF3">
        <v>0</v>
      </c>
      <c r="BG3" s="6">
        <v>0</v>
      </c>
      <c r="BH3" s="50">
        <f>($AZ$8-BB3)/$AZ$8</f>
        <v>5.8356001360081559E-2</v>
      </c>
      <c r="BJ3" s="51"/>
      <c r="BK3" s="6"/>
      <c r="BL3" s="6"/>
      <c r="BN3" s="24">
        <f>0.4 * BO3 + 0.4 * BP3 + 0.2 * BS3</f>
        <v>38260.800000000003</v>
      </c>
      <c r="BO3" s="39">
        <v>80809</v>
      </c>
      <c r="BP3" s="39">
        <v>14843</v>
      </c>
      <c r="BQ3" s="39">
        <v>310</v>
      </c>
      <c r="BR3">
        <v>0</v>
      </c>
      <c r="BS3" s="6">
        <v>0</v>
      </c>
      <c r="BT3" s="50">
        <f>($BL$8-BN3)/$BL$8</f>
        <v>6.3603167921369663E-2</v>
      </c>
      <c r="BV3" s="51"/>
      <c r="BW3" s="6"/>
      <c r="BX3" s="6"/>
      <c r="BZ3" s="24">
        <f xml:space="preserve"> 0.4 * CA3 + 0.4 * CB3 + 0.2 * CE3</f>
        <v>20673.2</v>
      </c>
      <c r="CA3" s="5">
        <v>36933</v>
      </c>
      <c r="CB3">
        <v>14750</v>
      </c>
      <c r="CC3">
        <v>11282</v>
      </c>
      <c r="CD3">
        <v>0</v>
      </c>
      <c r="CE3">
        <v>0</v>
      </c>
      <c r="CF3" s="50">
        <f>($BX$8-BZ3)/$BX$8</f>
        <v>3.1700234192037435E-2</v>
      </c>
      <c r="CH3" s="51"/>
      <c r="CI3" s="6"/>
      <c r="CJ3" s="6"/>
      <c r="CL3" s="24">
        <f>0.4 * CM3 + 0.4 * CN3 + 0.2 * CQ3</f>
        <v>15900</v>
      </c>
      <c r="CM3" s="5">
        <v>23588</v>
      </c>
      <c r="CN3">
        <v>16162</v>
      </c>
      <c r="CO3">
        <v>10672</v>
      </c>
      <c r="CP3">
        <v>0</v>
      </c>
      <c r="CQ3">
        <v>0</v>
      </c>
      <c r="CR3" s="50">
        <f>($CJ$8-CL3)/$CJ$8</f>
        <v>0.14235781479243984</v>
      </c>
      <c r="CT3" s="51"/>
      <c r="CU3" s="6"/>
    </row>
    <row r="4" spans="1:207" ht="15.6" hidden="1" x14ac:dyDescent="0.3">
      <c r="A4" s="38">
        <v>0.2</v>
      </c>
      <c r="B4" s="23"/>
      <c r="C4" s="23"/>
      <c r="D4" s="24">
        <f>0.4 * E4 + 0.4 * F4 + 0.2 * I4</f>
        <v>12434.4</v>
      </c>
      <c r="E4" s="5">
        <v>20611</v>
      </c>
      <c r="F4">
        <v>10475</v>
      </c>
      <c r="G4">
        <v>0</v>
      </c>
      <c r="H4">
        <v>0</v>
      </c>
      <c r="I4" s="6">
        <v>0</v>
      </c>
      <c r="L4" s="45">
        <f t="shared" ref="L4:L7" si="0">($B$8-D4)/$B$8</f>
        <v>8.1247229200532026E-2</v>
      </c>
      <c r="N4" s="46"/>
      <c r="O4" s="6"/>
      <c r="R4" s="24">
        <f>0.4 * S4 + 0.4 * T4 + 0.2 * W4</f>
        <v>39152.800000000003</v>
      </c>
      <c r="S4" s="5">
        <v>77007</v>
      </c>
      <c r="T4">
        <v>20348</v>
      </c>
      <c r="U4">
        <v>492</v>
      </c>
      <c r="V4">
        <v>0</v>
      </c>
      <c r="W4" s="6">
        <v>1054</v>
      </c>
      <c r="X4" s="45">
        <f t="shared" ref="X4:X6" si="1">($P$8-R4)/$P$8</f>
        <v>0.25494763122640357</v>
      </c>
      <c r="Z4" s="46"/>
      <c r="AA4" s="6"/>
      <c r="AB4" s="6"/>
      <c r="AD4" s="24">
        <f>0.4 * AE4 + 0.4 * AF4 + 0.2 * AI4</f>
        <v>19962.400000000001</v>
      </c>
      <c r="AE4" s="5">
        <v>37680</v>
      </c>
      <c r="AF4">
        <v>12226</v>
      </c>
      <c r="AG4">
        <v>11669</v>
      </c>
      <c r="AH4">
        <v>0</v>
      </c>
      <c r="AI4">
        <v>0</v>
      </c>
      <c r="AJ4" s="45">
        <f t="shared" ref="AJ4:AJ6" si="2">($AB$8-AD4)/$AB$8</f>
        <v>0.1852347678443152</v>
      </c>
      <c r="AL4" s="46"/>
      <c r="AM4" s="6"/>
      <c r="AN4" s="6"/>
      <c r="AP4" s="24">
        <f>0.4 * AQ4 + 0.4 * AR4 + 0.2 * AU4</f>
        <v>27877.199999999997</v>
      </c>
      <c r="AQ4" s="39">
        <v>46492</v>
      </c>
      <c r="AR4" s="40">
        <v>23201</v>
      </c>
      <c r="AS4" s="39">
        <v>12182</v>
      </c>
      <c r="AT4">
        <v>0</v>
      </c>
      <c r="AU4" s="6">
        <v>0</v>
      </c>
      <c r="AV4" s="45">
        <f t="shared" ref="AV4:AV7" si="3">($AN$8-AP4)/$AN$8</f>
        <v>3.5337596545137594E-2</v>
      </c>
      <c r="AX4" s="46"/>
      <c r="AY4" s="6"/>
      <c r="AZ4" s="6"/>
      <c r="BB4" s="24">
        <f>0.4 * BC4 + 0.4 * BD4 + 0.2 * BG4</f>
        <v>26586</v>
      </c>
      <c r="BC4" s="39">
        <v>51740</v>
      </c>
      <c r="BD4" s="39">
        <v>14725</v>
      </c>
      <c r="BE4">
        <v>0</v>
      </c>
      <c r="BF4">
        <v>0</v>
      </c>
      <c r="BG4" s="6">
        <v>0</v>
      </c>
      <c r="BH4" s="45">
        <f t="shared" ref="BH4:BH6" si="4">($AZ$8-BB4)/$AZ$8</f>
        <v>5.8356001360081559E-2</v>
      </c>
      <c r="BJ4" s="46"/>
      <c r="BK4" s="6"/>
      <c r="BL4" s="6"/>
      <c r="BN4" s="24">
        <f>0.4 * BO4 + 0.4 * BP4 + 0.2 * BS4</f>
        <v>38200.800000000003</v>
      </c>
      <c r="BO4" s="39">
        <v>80637</v>
      </c>
      <c r="BP4" s="39">
        <v>14829</v>
      </c>
      <c r="BQ4" s="39">
        <v>12107</v>
      </c>
      <c r="BR4">
        <v>0</v>
      </c>
      <c r="BS4" s="6">
        <v>72</v>
      </c>
      <c r="BT4" s="45">
        <f t="shared" ref="BT4:BT7" si="5">($BL$8-BN4)/$BL$8</f>
        <v>6.5071611077935063E-2</v>
      </c>
      <c r="BV4" s="46"/>
      <c r="BW4" s="6"/>
      <c r="BX4" s="6"/>
      <c r="BZ4" s="24">
        <f t="shared" ref="BZ4:BZ7" si="6" xml:space="preserve"> 0.4 * CA4 + 0.4 * CB4 + 0.2 * CE4</f>
        <v>20672.800000000003</v>
      </c>
      <c r="CA4" s="5">
        <v>36932</v>
      </c>
      <c r="CB4">
        <v>14750</v>
      </c>
      <c r="CC4">
        <v>11287</v>
      </c>
      <c r="CD4">
        <v>0</v>
      </c>
      <c r="CE4">
        <v>0</v>
      </c>
      <c r="CF4" s="45">
        <f t="shared" ref="CF4:CF7" si="7">($BX$8-BZ4)/$BX$8</f>
        <v>3.171896955503499E-2</v>
      </c>
      <c r="CH4" s="46"/>
      <c r="CI4" s="6"/>
      <c r="CJ4" s="6"/>
      <c r="CL4" s="24">
        <f>0.4 * CM4 + 0.4 * CN4 + 0.2 * CQ4</f>
        <v>15820.400000000001</v>
      </c>
      <c r="CM4" s="5">
        <v>23398</v>
      </c>
      <c r="CN4">
        <v>16153</v>
      </c>
      <c r="CO4">
        <v>10157</v>
      </c>
      <c r="CP4">
        <v>0</v>
      </c>
      <c r="CQ4">
        <v>0</v>
      </c>
      <c r="CR4" s="45">
        <f t="shared" ref="CR4:CR7" si="8">($CJ$8-CL4)/$CJ$8</f>
        <v>0.14665141969448514</v>
      </c>
      <c r="CT4" s="46"/>
      <c r="CU4" s="6"/>
    </row>
    <row r="5" spans="1:207" ht="15.6" hidden="1" x14ac:dyDescent="0.3">
      <c r="A5" s="38">
        <v>0.2</v>
      </c>
      <c r="B5" s="23"/>
      <c r="C5" s="23"/>
      <c r="D5" s="24">
        <f t="shared" ref="D5:D7" si="9">0.4 * E5 + 0.4 * F5 + 0.2 * I5</f>
        <v>12566.400000000001</v>
      </c>
      <c r="E5" s="5">
        <v>20844</v>
      </c>
      <c r="F5">
        <v>10572</v>
      </c>
      <c r="G5">
        <v>0</v>
      </c>
      <c r="H5">
        <v>0</v>
      </c>
      <c r="I5" s="6">
        <v>0</v>
      </c>
      <c r="L5" s="45">
        <f t="shared" si="0"/>
        <v>7.1494015073148995E-2</v>
      </c>
      <c r="N5" s="46"/>
      <c r="O5" s="6"/>
      <c r="R5" s="24">
        <f t="shared" ref="R5:R7" si="10">0.4 * S5 + 0.4 * T5 + 0.2 * W5</f>
        <v>38886.600000000006</v>
      </c>
      <c r="S5" s="5">
        <v>76566</v>
      </c>
      <c r="T5">
        <v>20392</v>
      </c>
      <c r="U5">
        <v>134</v>
      </c>
      <c r="V5">
        <v>0</v>
      </c>
      <c r="W5" s="6">
        <v>517</v>
      </c>
      <c r="X5" s="45">
        <f t="shared" si="1"/>
        <v>0.26001324442820595</v>
      </c>
      <c r="Z5" s="46"/>
      <c r="AA5" s="6"/>
      <c r="AB5" s="6"/>
      <c r="AD5" s="24">
        <f t="shared" ref="AD5:AD7" si="11">0.4 * AE5 + 0.4 * AF5 + 0.2 * AI5</f>
        <v>20158.400000000001</v>
      </c>
      <c r="AE5" s="5">
        <v>38081</v>
      </c>
      <c r="AF5">
        <v>12315</v>
      </c>
      <c r="AG5">
        <v>12472</v>
      </c>
      <c r="AH5">
        <v>0</v>
      </c>
      <c r="AI5">
        <v>0</v>
      </c>
      <c r="AJ5" s="45">
        <f t="shared" si="2"/>
        <v>0.1772350290602755</v>
      </c>
      <c r="AL5" s="46"/>
      <c r="AM5" s="6"/>
      <c r="AN5" s="6"/>
      <c r="AP5" s="24">
        <f t="shared" ref="AP5:AP7" si="12">0.4 * AQ5 + 0.4 * AR5 + 0.2 * AU5</f>
        <v>27106</v>
      </c>
      <c r="AQ5" s="39">
        <v>44886</v>
      </c>
      <c r="AR5" s="39">
        <v>22879</v>
      </c>
      <c r="AS5" s="39">
        <v>12483</v>
      </c>
      <c r="AT5">
        <v>0</v>
      </c>
      <c r="AU5" s="6">
        <v>0</v>
      </c>
      <c r="AV5" s="45">
        <f t="shared" si="3"/>
        <v>6.2024195111148067E-2</v>
      </c>
      <c r="AX5" s="46"/>
      <c r="AY5" s="6"/>
      <c r="AZ5" s="6"/>
      <c r="BB5" s="24">
        <f t="shared" ref="BB5:BB7" si="13">0.4 * BC5 + 0.4 * BD5 + 0.2 * BG5</f>
        <v>26708</v>
      </c>
      <c r="BC5" s="39">
        <v>52096</v>
      </c>
      <c r="BD5" s="40">
        <v>14674</v>
      </c>
      <c r="BE5">
        <v>0</v>
      </c>
      <c r="BF5">
        <v>0</v>
      </c>
      <c r="BG5" s="6">
        <v>0</v>
      </c>
      <c r="BH5" s="45">
        <f t="shared" si="4"/>
        <v>5.4034908761192289E-2</v>
      </c>
      <c r="BJ5" s="46"/>
      <c r="BK5" s="6"/>
      <c r="BL5" s="6"/>
      <c r="BN5" s="24">
        <f t="shared" ref="BN5:BN7" si="14">0.4 * BO5 + 0.4 * BP5 + 0.2 * BS5</f>
        <v>38921.199999999997</v>
      </c>
      <c r="BO5" s="39">
        <v>82374</v>
      </c>
      <c r="BP5" s="39">
        <v>14929</v>
      </c>
      <c r="BQ5" s="39">
        <v>11408</v>
      </c>
      <c r="BR5">
        <v>0</v>
      </c>
      <c r="BS5" s="6">
        <v>0</v>
      </c>
      <c r="BT5" s="45">
        <f t="shared" si="5"/>
        <v>4.744050357810653E-2</v>
      </c>
      <c r="BV5" s="46"/>
      <c r="BW5" s="6"/>
      <c r="BX5" s="6"/>
      <c r="BZ5" s="24">
        <f t="shared" si="6"/>
        <v>20901.600000000002</v>
      </c>
      <c r="CA5" s="5">
        <v>37476</v>
      </c>
      <c r="CB5">
        <v>14778</v>
      </c>
      <c r="CC5">
        <v>11292</v>
      </c>
      <c r="CD5">
        <v>0</v>
      </c>
      <c r="CE5">
        <v>0</v>
      </c>
      <c r="CF5" s="45">
        <f t="shared" si="7"/>
        <v>2.1002341920374604E-2</v>
      </c>
      <c r="CH5" s="46"/>
      <c r="CI5" s="6"/>
      <c r="CJ5" s="6"/>
      <c r="CL5" s="24">
        <f t="shared" ref="CL5:CL7" si="15">0.4 * CM5 + 0.4 * CN5 + 0.2 * CQ5</f>
        <v>16317.2</v>
      </c>
      <c r="CM5" s="5">
        <v>24579</v>
      </c>
      <c r="CN5">
        <v>16214</v>
      </c>
      <c r="CO5">
        <v>11149</v>
      </c>
      <c r="CP5">
        <v>0</v>
      </c>
      <c r="CQ5">
        <v>0</v>
      </c>
      <c r="CR5" s="45">
        <f t="shared" si="8"/>
        <v>0.11985414688875463</v>
      </c>
      <c r="CT5" s="46"/>
      <c r="CU5" s="6"/>
    </row>
    <row r="6" spans="1:207" ht="15.6" hidden="1" x14ac:dyDescent="0.3">
      <c r="A6" s="38">
        <v>0.2</v>
      </c>
      <c r="B6" s="23"/>
      <c r="C6" s="23"/>
      <c r="D6" s="24">
        <f t="shared" si="9"/>
        <v>12634.8</v>
      </c>
      <c r="E6" s="5">
        <v>21054</v>
      </c>
      <c r="F6">
        <v>10533</v>
      </c>
      <c r="G6">
        <v>0</v>
      </c>
      <c r="H6">
        <v>0</v>
      </c>
      <c r="I6" s="6">
        <v>0</v>
      </c>
      <c r="L6" s="45">
        <f>($B$8-D6)/$B$8</f>
        <v>6.6440076843505294E-2</v>
      </c>
      <c r="N6" s="46"/>
      <c r="O6" s="6"/>
      <c r="R6" s="24">
        <f t="shared" si="10"/>
        <v>38236.199999999997</v>
      </c>
      <c r="S6" s="5">
        <v>75033</v>
      </c>
      <c r="T6">
        <v>20200</v>
      </c>
      <c r="U6">
        <v>473</v>
      </c>
      <c r="V6">
        <v>0</v>
      </c>
      <c r="W6" s="6">
        <v>715</v>
      </c>
      <c r="X6" s="45">
        <f t="shared" si="1"/>
        <v>0.27238993423456348</v>
      </c>
      <c r="Z6" s="46"/>
      <c r="AA6" s="6"/>
      <c r="AB6" s="6"/>
      <c r="AD6" s="24">
        <f t="shared" si="11"/>
        <v>19962.400000000001</v>
      </c>
      <c r="AE6" s="5">
        <v>37680</v>
      </c>
      <c r="AF6">
        <v>12226</v>
      </c>
      <c r="AG6">
        <v>11779</v>
      </c>
      <c r="AH6">
        <v>0</v>
      </c>
      <c r="AI6">
        <v>0</v>
      </c>
      <c r="AJ6" s="45">
        <f t="shared" si="2"/>
        <v>0.1852347678443152</v>
      </c>
      <c r="AL6" s="46"/>
      <c r="AM6" s="6"/>
      <c r="AN6" s="6"/>
      <c r="AP6" s="24">
        <f t="shared" si="12"/>
        <v>27156.400000000001</v>
      </c>
      <c r="AQ6" s="39">
        <v>45095</v>
      </c>
      <c r="AR6" s="39">
        <v>22796</v>
      </c>
      <c r="AS6" s="39">
        <v>13408</v>
      </c>
      <c r="AT6">
        <v>0</v>
      </c>
      <c r="AU6" s="6">
        <v>0</v>
      </c>
      <c r="AV6" s="45">
        <f t="shared" si="3"/>
        <v>6.028015391855604E-2</v>
      </c>
      <c r="AX6" s="46"/>
      <c r="AY6" s="6"/>
      <c r="AZ6" s="6"/>
      <c r="BB6" s="24">
        <f t="shared" si="13"/>
        <v>26586</v>
      </c>
      <c r="BC6" s="39">
        <v>51740</v>
      </c>
      <c r="BD6" s="39">
        <v>14725</v>
      </c>
      <c r="BE6">
        <v>0</v>
      </c>
      <c r="BF6">
        <v>0</v>
      </c>
      <c r="BG6" s="6">
        <v>0</v>
      </c>
      <c r="BH6" s="45">
        <f t="shared" si="4"/>
        <v>5.8356001360081559E-2</v>
      </c>
      <c r="BJ6" s="46"/>
      <c r="BK6" s="6"/>
      <c r="BL6" s="6"/>
      <c r="BN6" s="24">
        <f t="shared" si="14"/>
        <v>38260</v>
      </c>
      <c r="BO6" s="39">
        <v>80808</v>
      </c>
      <c r="BP6" s="39">
        <v>14842</v>
      </c>
      <c r="BQ6" s="39">
        <v>539</v>
      </c>
      <c r="BR6">
        <v>0</v>
      </c>
      <c r="BS6" s="6">
        <v>0</v>
      </c>
      <c r="BT6" s="45">
        <f t="shared" si="5"/>
        <v>6.3622747163457269E-2</v>
      </c>
      <c r="BV6" s="46"/>
      <c r="BW6" s="6"/>
      <c r="BX6" s="6"/>
      <c r="BZ6" s="24">
        <f t="shared" si="6"/>
        <v>20843.2</v>
      </c>
      <c r="CA6" s="5">
        <v>37340</v>
      </c>
      <c r="CB6">
        <v>14768</v>
      </c>
      <c r="CC6">
        <v>11269</v>
      </c>
      <c r="CD6">
        <v>0</v>
      </c>
      <c r="CE6">
        <v>0</v>
      </c>
      <c r="CF6" s="45">
        <f t="shared" si="7"/>
        <v>2.3737704918032752E-2</v>
      </c>
      <c r="CH6" s="46"/>
      <c r="CI6" s="6"/>
      <c r="CJ6" s="6"/>
      <c r="CL6" s="24">
        <f t="shared" si="15"/>
        <v>15771.2</v>
      </c>
      <c r="CM6" s="5">
        <v>23281</v>
      </c>
      <c r="CN6">
        <v>16147</v>
      </c>
      <c r="CO6">
        <v>9764</v>
      </c>
      <c r="CP6">
        <v>0</v>
      </c>
      <c r="CQ6">
        <v>0</v>
      </c>
      <c r="CR6" s="45">
        <f t="shared" si="8"/>
        <v>0.14930525589022178</v>
      </c>
      <c r="CT6" s="46"/>
      <c r="CU6" s="6"/>
    </row>
    <row r="7" spans="1:207" ht="15.6" hidden="1" x14ac:dyDescent="0.3">
      <c r="A7" s="38">
        <v>0.2</v>
      </c>
      <c r="B7" s="23"/>
      <c r="C7" s="23"/>
      <c r="D7" s="24">
        <f t="shared" si="9"/>
        <v>12374.400000000001</v>
      </c>
      <c r="E7" s="5">
        <v>20587</v>
      </c>
      <c r="F7">
        <v>10349</v>
      </c>
      <c r="G7">
        <v>0</v>
      </c>
      <c r="H7">
        <v>0</v>
      </c>
      <c r="I7" s="6">
        <v>0</v>
      </c>
      <c r="L7" s="45">
        <f t="shared" si="0"/>
        <v>8.5680508349342294E-2</v>
      </c>
      <c r="N7" s="46"/>
      <c r="O7" s="6"/>
      <c r="R7" s="24">
        <f t="shared" si="10"/>
        <v>39288</v>
      </c>
      <c r="S7" s="5">
        <v>77627</v>
      </c>
      <c r="T7">
        <v>20343</v>
      </c>
      <c r="U7">
        <v>589</v>
      </c>
      <c r="V7">
        <v>0</v>
      </c>
      <c r="W7" s="6">
        <v>500</v>
      </c>
      <c r="X7" s="45">
        <f>($P$8-R7)/$P$8</f>
        <v>0.25237486298867373</v>
      </c>
      <c r="Z7" s="46"/>
      <c r="AA7" s="6"/>
      <c r="AB7" s="6"/>
      <c r="AD7" s="24">
        <f t="shared" si="11"/>
        <v>20048.800000000003</v>
      </c>
      <c r="AE7" s="5">
        <v>37853</v>
      </c>
      <c r="AF7">
        <v>12269</v>
      </c>
      <c r="AG7">
        <v>12671</v>
      </c>
      <c r="AH7">
        <v>0</v>
      </c>
      <c r="AI7">
        <v>0</v>
      </c>
      <c r="AJ7" s="45">
        <f>($AB$8-AD7)/$AB$8</f>
        <v>0.18170835238033028</v>
      </c>
      <c r="AL7" s="46"/>
      <c r="AM7" s="6"/>
      <c r="AN7" s="6"/>
      <c r="AP7" s="24">
        <f t="shared" si="12"/>
        <v>27176.400000000001</v>
      </c>
      <c r="AQ7" s="39">
        <v>45045</v>
      </c>
      <c r="AR7" s="39">
        <v>22896</v>
      </c>
      <c r="AS7" s="39">
        <v>16115</v>
      </c>
      <c r="AT7">
        <v>0</v>
      </c>
      <c r="AU7" s="6">
        <v>0</v>
      </c>
      <c r="AV7" s="45">
        <f t="shared" si="3"/>
        <v>5.9588074080225893E-2</v>
      </c>
      <c r="AX7" s="46"/>
      <c r="AY7" s="6"/>
      <c r="AZ7" s="6"/>
      <c r="BB7" s="24">
        <f t="shared" si="13"/>
        <v>26586</v>
      </c>
      <c r="BC7" s="39">
        <v>51740</v>
      </c>
      <c r="BD7" s="39">
        <v>14725</v>
      </c>
      <c r="BE7">
        <v>0</v>
      </c>
      <c r="BF7">
        <v>0</v>
      </c>
      <c r="BG7" s="6">
        <v>0</v>
      </c>
      <c r="BH7" s="45">
        <f>($AZ$8-BB7)/$AZ$8</f>
        <v>5.8356001360081559E-2</v>
      </c>
      <c r="BJ7" s="46"/>
      <c r="BK7" s="6"/>
      <c r="BL7" s="6"/>
      <c r="BN7" s="24">
        <f t="shared" si="14"/>
        <v>38188.400000000001</v>
      </c>
      <c r="BO7" s="39">
        <v>80640</v>
      </c>
      <c r="BP7" s="39">
        <v>14831</v>
      </c>
      <c r="BQ7" s="39">
        <v>12122</v>
      </c>
      <c r="BR7">
        <v>0</v>
      </c>
      <c r="BS7" s="6">
        <v>0</v>
      </c>
      <c r="BT7" s="45">
        <f t="shared" si="5"/>
        <v>6.5375089330291958E-2</v>
      </c>
      <c r="BV7" s="46"/>
      <c r="BW7" s="6"/>
      <c r="BX7" s="6"/>
      <c r="BZ7" s="24">
        <f t="shared" si="6"/>
        <v>21186.799999999999</v>
      </c>
      <c r="CA7" s="5">
        <v>38155</v>
      </c>
      <c r="CB7">
        <v>14812</v>
      </c>
      <c r="CC7">
        <v>11258</v>
      </c>
      <c r="CD7">
        <v>0</v>
      </c>
      <c r="CE7">
        <v>0</v>
      </c>
      <c r="CF7" s="45">
        <f t="shared" si="7"/>
        <v>7.6440281030445301E-3</v>
      </c>
      <c r="CH7" s="46"/>
      <c r="CI7" s="6"/>
      <c r="CJ7" s="6"/>
      <c r="CL7" s="24">
        <f t="shared" si="15"/>
        <v>15771.2</v>
      </c>
      <c r="CM7" s="5">
        <v>23281</v>
      </c>
      <c r="CN7">
        <v>16147</v>
      </c>
      <c r="CO7">
        <v>10163</v>
      </c>
      <c r="CP7">
        <v>0</v>
      </c>
      <c r="CQ7">
        <v>0</v>
      </c>
      <c r="CR7" s="45">
        <f t="shared" si="8"/>
        <v>0.14930525589022178</v>
      </c>
      <c r="CT7" s="46"/>
      <c r="CU7" s="6"/>
    </row>
    <row r="8" spans="1:207" s="4" customFormat="1" x14ac:dyDescent="0.3">
      <c r="A8" s="37">
        <v>0.2</v>
      </c>
      <c r="B8" s="41" t="s">
        <v>41</v>
      </c>
      <c r="C8" s="41">
        <v>22829</v>
      </c>
      <c r="D8" s="25">
        <v>12564.880000000001</v>
      </c>
      <c r="E8" s="7">
        <v>20952.400000000001</v>
      </c>
      <c r="F8" s="4">
        <v>10459.799999999999</v>
      </c>
      <c r="G8" s="4">
        <v>0</v>
      </c>
      <c r="H8" s="4">
        <v>0</v>
      </c>
      <c r="I8" s="4">
        <v>0</v>
      </c>
      <c r="J8" s="27">
        <v>0.10427283594591383</v>
      </c>
      <c r="K8" s="27">
        <v>1.1717271023337918E-2</v>
      </c>
      <c r="L8" s="27">
        <v>7.1606324811585562E-2</v>
      </c>
      <c r="M8" s="27">
        <v>1.282222735912276E-2</v>
      </c>
      <c r="N8" s="73">
        <v>8.2202461781067881E-2</v>
      </c>
      <c r="O8" s="27" t="e">
        <v>#DIV/0!</v>
      </c>
      <c r="P8">
        <v>52550.400000000001</v>
      </c>
      <c r="Q8" s="26">
        <v>81057</v>
      </c>
      <c r="R8" s="49">
        <v>38984.080000000002</v>
      </c>
      <c r="S8">
        <v>76813.600000000006</v>
      </c>
      <c r="T8">
        <v>20352.599999999999</v>
      </c>
      <c r="U8">
        <v>482.2</v>
      </c>
      <c r="V8">
        <v>0</v>
      </c>
      <c r="W8">
        <v>588</v>
      </c>
      <c r="X8" s="27">
        <v>0.2581582633053221</v>
      </c>
      <c r="Y8" s="27">
        <v>8.6608680795555292E-3</v>
      </c>
      <c r="Z8" s="73">
        <v>5.2350814858679623E-2</v>
      </c>
      <c r="AA8" s="27" t="e">
        <v>#DIV/0!</v>
      </c>
      <c r="AB8">
        <v>24500.799999999999</v>
      </c>
      <c r="AC8">
        <v>48120</v>
      </c>
      <c r="AD8" s="49">
        <v>20023.840000000004</v>
      </c>
      <c r="AE8">
        <v>37804.800000000003</v>
      </c>
      <c r="AF8">
        <v>12254.8</v>
      </c>
      <c r="AG8">
        <v>12250</v>
      </c>
      <c r="AH8">
        <v>0</v>
      </c>
      <c r="AI8">
        <v>0</v>
      </c>
      <c r="AJ8" s="27">
        <v>0.18272709462548145</v>
      </c>
      <c r="AK8" s="27">
        <v>3.3916763774237248E-3</v>
      </c>
      <c r="AL8" s="73">
        <v>0.21436408977556104</v>
      </c>
      <c r="AM8" s="27" t="e">
        <v>#DIV/0!</v>
      </c>
      <c r="AN8">
        <v>28898.400000000001</v>
      </c>
      <c r="AO8">
        <v>48676</v>
      </c>
      <c r="AP8" s="49">
        <v>27785.200000000001</v>
      </c>
      <c r="AQ8">
        <v>46525.4</v>
      </c>
      <c r="AR8">
        <v>22937.599999999999</v>
      </c>
      <c r="AS8">
        <v>15843.6</v>
      </c>
      <c r="AT8">
        <v>0</v>
      </c>
      <c r="AU8">
        <v>0</v>
      </c>
      <c r="AV8" s="27">
        <v>3.8521163801456162E-2</v>
      </c>
      <c r="AW8" s="27">
        <v>3.6970031756333892E-2</v>
      </c>
      <c r="AX8" s="73">
        <v>4.4181937710576026E-2</v>
      </c>
      <c r="AY8" s="27" t="e">
        <v>#DIV/0!</v>
      </c>
      <c r="AZ8">
        <v>28233.599999999999</v>
      </c>
      <c r="BA8">
        <v>55474</v>
      </c>
      <c r="BB8" s="49">
        <v>26610.400000000001</v>
      </c>
      <c r="BC8">
        <v>51811.199999999997</v>
      </c>
      <c r="BD8">
        <v>14714.8</v>
      </c>
      <c r="BE8">
        <v>0</v>
      </c>
      <c r="BF8">
        <v>0</v>
      </c>
      <c r="BG8">
        <v>0</v>
      </c>
      <c r="BH8" s="27">
        <v>5.7491782840303651E-2</v>
      </c>
      <c r="BI8" s="27">
        <v>1.9324513576375281E-3</v>
      </c>
      <c r="BJ8" s="73">
        <v>6.6027328117676795E-2</v>
      </c>
      <c r="BK8" s="27" t="e">
        <v>#DIV/0!</v>
      </c>
      <c r="BL8">
        <v>40859.599999999999</v>
      </c>
      <c r="BM8">
        <v>86423</v>
      </c>
      <c r="BN8" s="49">
        <v>38366.239999999998</v>
      </c>
      <c r="BO8">
        <v>81053.600000000006</v>
      </c>
      <c r="BP8">
        <v>14854.8</v>
      </c>
      <c r="BQ8">
        <v>7297.2</v>
      </c>
      <c r="BR8">
        <v>0</v>
      </c>
      <c r="BS8">
        <v>14.4</v>
      </c>
      <c r="BT8" s="27">
        <v>6.1022623814232166E-2</v>
      </c>
      <c r="BU8" s="27">
        <v>7.6359690504669911E-3</v>
      </c>
      <c r="BV8" s="73">
        <v>6.2129294285086081E-2</v>
      </c>
      <c r="BW8" s="27" t="e">
        <v>#DIV/0!</v>
      </c>
      <c r="BX8">
        <v>21350</v>
      </c>
      <c r="BY8">
        <v>38534</v>
      </c>
      <c r="BZ8" s="49">
        <v>20855.52</v>
      </c>
      <c r="CA8">
        <v>37367.199999999997</v>
      </c>
      <c r="CB8">
        <v>14771.6</v>
      </c>
      <c r="CC8">
        <v>11277.6</v>
      </c>
      <c r="CD8">
        <v>0</v>
      </c>
      <c r="CE8">
        <v>0</v>
      </c>
      <c r="CF8" s="27">
        <v>2.3160655737704896E-2</v>
      </c>
      <c r="CG8" s="27">
        <v>9.8985626862805876E-3</v>
      </c>
      <c r="CH8" s="73">
        <v>3.0279752945450846E-2</v>
      </c>
      <c r="CI8" s="27" t="e">
        <v>#DIV/0!</v>
      </c>
      <c r="CJ8">
        <v>18539.2</v>
      </c>
      <c r="CK8">
        <v>28067</v>
      </c>
      <c r="CL8" s="49">
        <v>15916</v>
      </c>
      <c r="CM8">
        <v>23625.4</v>
      </c>
      <c r="CN8">
        <v>16164.6</v>
      </c>
      <c r="CO8">
        <v>10381</v>
      </c>
      <c r="CP8">
        <v>0</v>
      </c>
      <c r="CQ8">
        <v>0</v>
      </c>
      <c r="CR8" s="27">
        <v>0.14149477863122467</v>
      </c>
      <c r="CS8" s="27">
        <v>1.2426381519882335E-2</v>
      </c>
      <c r="CT8" s="73">
        <v>0.15824990202016598</v>
      </c>
      <c r="CU8" s="27" t="e">
        <v>#DIV/0!</v>
      </c>
      <c r="CV8"/>
      <c r="CW8" s="27">
        <v>0.10427283594591383</v>
      </c>
      <c r="CX8" s="27">
        <v>1.1717271023337918E-2</v>
      </c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</row>
    <row r="9" spans="1:207" ht="15.6" hidden="1" x14ac:dyDescent="0.3">
      <c r="A9" s="14" t="s">
        <v>30</v>
      </c>
      <c r="B9" s="23"/>
      <c r="C9" s="23"/>
      <c r="D9" s="24">
        <v>12681.2</v>
      </c>
      <c r="E9" s="5">
        <v>21074</v>
      </c>
      <c r="F9">
        <v>10629</v>
      </c>
      <c r="G9">
        <v>0</v>
      </c>
      <c r="H9">
        <v>0</v>
      </c>
      <c r="I9">
        <v>0</v>
      </c>
      <c r="J9" s="27">
        <v>0.10867076700260132</v>
      </c>
      <c r="K9" s="27">
        <v>0</v>
      </c>
      <c r="L9" s="27">
        <v>6.301859746861628E-2</v>
      </c>
      <c r="N9" s="73"/>
      <c r="R9" s="49">
        <v>37613.000000000007</v>
      </c>
      <c r="S9">
        <v>73642</v>
      </c>
      <c r="T9">
        <v>20017</v>
      </c>
      <c r="U9">
        <v>380</v>
      </c>
      <c r="V9">
        <v>0</v>
      </c>
      <c r="W9">
        <v>747</v>
      </c>
      <c r="X9" s="27">
        <v>0.28426264571448134</v>
      </c>
      <c r="Z9" s="73"/>
      <c r="AD9" s="49">
        <v>19986</v>
      </c>
      <c r="AE9">
        <v>37726</v>
      </c>
      <c r="AF9">
        <v>12239</v>
      </c>
      <c r="AG9">
        <v>12670</v>
      </c>
      <c r="AH9">
        <v>0</v>
      </c>
      <c r="AI9">
        <v>0</v>
      </c>
      <c r="AJ9" s="27">
        <v>0.1843048265841693</v>
      </c>
      <c r="AL9" s="73"/>
      <c r="AP9" s="49">
        <v>26728.799999999999</v>
      </c>
      <c r="AQ9" s="39">
        <v>44172</v>
      </c>
      <c r="AR9" s="39">
        <v>22650</v>
      </c>
      <c r="AS9" s="39">
        <v>25086</v>
      </c>
      <c r="AT9">
        <v>0</v>
      </c>
      <c r="AU9">
        <v>0</v>
      </c>
      <c r="AV9" s="27">
        <v>7.5108825788770775E-2</v>
      </c>
      <c r="AX9" s="73"/>
      <c r="BB9" s="49">
        <v>26586</v>
      </c>
      <c r="BC9" s="39">
        <v>51740</v>
      </c>
      <c r="BD9" s="39">
        <v>14725</v>
      </c>
      <c r="BE9">
        <v>0</v>
      </c>
      <c r="BF9">
        <v>0</v>
      </c>
      <c r="BG9">
        <v>0</v>
      </c>
      <c r="BH9" s="27">
        <v>5.8389352071571712E-2</v>
      </c>
      <c r="BJ9" s="73"/>
      <c r="BN9" s="49">
        <v>38199.200000000004</v>
      </c>
      <c r="BO9" s="39">
        <v>80662</v>
      </c>
      <c r="BP9" s="39">
        <v>14836</v>
      </c>
      <c r="BQ9" s="39">
        <v>12035</v>
      </c>
      <c r="BR9">
        <v>0</v>
      </c>
      <c r="BS9">
        <v>0</v>
      </c>
      <c r="BT9" s="27">
        <v>6.513364953035429E-2</v>
      </c>
      <c r="BV9" s="73"/>
      <c r="BZ9" s="49">
        <v>20878.800000000003</v>
      </c>
      <c r="CA9">
        <v>37423</v>
      </c>
      <c r="CB9">
        <v>14774</v>
      </c>
      <c r="CC9">
        <v>8972</v>
      </c>
      <c r="CD9">
        <v>0</v>
      </c>
      <c r="CE9">
        <v>0</v>
      </c>
      <c r="CF9" s="27">
        <v>2.2116060137698332E-2</v>
      </c>
      <c r="CH9" s="73"/>
      <c r="CL9" s="49">
        <v>16370.400000000001</v>
      </c>
      <c r="CM9">
        <v>24703</v>
      </c>
      <c r="CN9">
        <v>16223</v>
      </c>
      <c r="CO9">
        <v>10192</v>
      </c>
      <c r="CP9">
        <v>0</v>
      </c>
      <c r="CQ9">
        <v>0</v>
      </c>
      <c r="CR9" s="27">
        <v>0.11703217872514855</v>
      </c>
      <c r="CT9" s="73"/>
      <c r="CW9" s="27">
        <v>0.10867076700260132</v>
      </c>
      <c r="CX9" s="27">
        <v>0</v>
      </c>
    </row>
    <row r="10" spans="1:207" ht="15.6" hidden="1" x14ac:dyDescent="0.3">
      <c r="A10" s="14" t="s">
        <v>30</v>
      </c>
      <c r="B10" s="23"/>
      <c r="C10" s="23"/>
      <c r="D10" s="24">
        <v>12593.2</v>
      </c>
      <c r="E10" s="5">
        <v>20995</v>
      </c>
      <c r="F10">
        <v>10488</v>
      </c>
      <c r="G10">
        <v>0</v>
      </c>
      <c r="H10">
        <v>0</v>
      </c>
      <c r="I10">
        <v>0</v>
      </c>
      <c r="J10" s="27">
        <v>0.11266025506029187</v>
      </c>
      <c r="K10" s="27">
        <v>0</v>
      </c>
      <c r="L10" s="27">
        <v>6.9520692177536716E-2</v>
      </c>
      <c r="N10" s="73"/>
      <c r="R10" s="49">
        <v>38377.799999999996</v>
      </c>
      <c r="S10">
        <v>75490</v>
      </c>
      <c r="T10">
        <v>20324</v>
      </c>
      <c r="U10">
        <v>0</v>
      </c>
      <c r="V10">
        <v>0</v>
      </c>
      <c r="W10">
        <v>261</v>
      </c>
      <c r="X10" s="27">
        <v>0.26970927510970222</v>
      </c>
      <c r="Z10" s="73"/>
      <c r="AD10" s="49">
        <v>19985.600000000002</v>
      </c>
      <c r="AE10">
        <v>37726</v>
      </c>
      <c r="AF10">
        <v>12238</v>
      </c>
      <c r="AG10">
        <v>12671</v>
      </c>
      <c r="AH10">
        <v>0</v>
      </c>
      <c r="AI10">
        <v>0</v>
      </c>
      <c r="AJ10" s="27">
        <v>0.18432115191536938</v>
      </c>
      <c r="AL10" s="73"/>
      <c r="AP10" s="49">
        <v>26860.800000000003</v>
      </c>
      <c r="AQ10" s="39">
        <v>44595</v>
      </c>
      <c r="AR10" s="39">
        <v>22557</v>
      </c>
      <c r="AS10" s="39">
        <v>0</v>
      </c>
      <c r="AT10">
        <v>0</v>
      </c>
      <c r="AU10">
        <v>0</v>
      </c>
      <c r="AV10" s="27">
        <v>7.0541256911908157E-2</v>
      </c>
      <c r="AX10" s="73"/>
      <c r="BB10" s="49">
        <v>26586</v>
      </c>
      <c r="BC10" s="39">
        <v>51740</v>
      </c>
      <c r="BD10" s="39">
        <v>14725</v>
      </c>
      <c r="BE10">
        <v>0</v>
      </c>
      <c r="BF10">
        <v>0</v>
      </c>
      <c r="BG10">
        <v>0</v>
      </c>
      <c r="BH10" s="27">
        <v>5.8389352071571712E-2</v>
      </c>
      <c r="BJ10" s="73"/>
      <c r="BN10" s="49">
        <v>38189.200000000004</v>
      </c>
      <c r="BO10" s="39">
        <v>80641</v>
      </c>
      <c r="BP10" s="39">
        <v>14832</v>
      </c>
      <c r="BQ10" s="39">
        <v>12154</v>
      </c>
      <c r="BR10">
        <v>0</v>
      </c>
      <c r="BS10">
        <v>0</v>
      </c>
      <c r="BT10" s="27">
        <v>6.5378384066802603E-2</v>
      </c>
      <c r="BV10" s="73"/>
      <c r="BZ10" s="49">
        <v>20584.400000000001</v>
      </c>
      <c r="CA10">
        <v>36723</v>
      </c>
      <c r="CB10">
        <v>14738</v>
      </c>
      <c r="CC10">
        <v>11318</v>
      </c>
      <c r="CD10">
        <v>0</v>
      </c>
      <c r="CE10">
        <v>0</v>
      </c>
      <c r="CF10" s="27">
        <v>3.5904641468783596E-2</v>
      </c>
      <c r="CH10" s="73"/>
      <c r="CL10" s="49">
        <v>15805.2</v>
      </c>
      <c r="CM10">
        <v>23361</v>
      </c>
      <c r="CN10">
        <v>16152</v>
      </c>
      <c r="CO10">
        <v>10160</v>
      </c>
      <c r="CP10">
        <v>0</v>
      </c>
      <c r="CQ10">
        <v>0</v>
      </c>
      <c r="CR10" s="27">
        <v>0.14751728676066062</v>
      </c>
      <c r="CT10" s="73"/>
      <c r="CW10" s="27">
        <v>0.11266025506029187</v>
      </c>
      <c r="CX10" s="27">
        <v>0</v>
      </c>
    </row>
    <row r="11" spans="1:207" ht="15.6" hidden="1" x14ac:dyDescent="0.3">
      <c r="A11" s="14" t="s">
        <v>30</v>
      </c>
      <c r="B11" s="23"/>
      <c r="C11" s="23"/>
      <c r="D11" s="24">
        <v>12814.4</v>
      </c>
      <c r="E11" s="5">
        <v>21666</v>
      </c>
      <c r="F11">
        <v>10370</v>
      </c>
      <c r="G11">
        <v>0</v>
      </c>
      <c r="H11">
        <v>0</v>
      </c>
      <c r="I11">
        <v>0</v>
      </c>
      <c r="J11" s="27">
        <v>0.10463493442761219</v>
      </c>
      <c r="K11" s="27">
        <v>0</v>
      </c>
      <c r="L11" s="27">
        <v>5.3176790477386798E-2</v>
      </c>
      <c r="N11" s="73"/>
      <c r="R11" s="49">
        <v>39226.400000000001</v>
      </c>
      <c r="S11">
        <v>77633</v>
      </c>
      <c r="T11">
        <v>20216</v>
      </c>
      <c r="U11">
        <v>27</v>
      </c>
      <c r="V11">
        <v>0</v>
      </c>
      <c r="W11">
        <v>434</v>
      </c>
      <c r="X11" s="27">
        <v>0.25356127524671085</v>
      </c>
      <c r="Z11" s="73"/>
      <c r="AD11" s="49">
        <v>19962.400000000001</v>
      </c>
      <c r="AE11">
        <v>37680</v>
      </c>
      <c r="AF11">
        <v>12226</v>
      </c>
      <c r="AG11">
        <v>11669</v>
      </c>
      <c r="AH11">
        <v>0</v>
      </c>
      <c r="AI11">
        <v>0</v>
      </c>
      <c r="AJ11" s="27">
        <v>0.18526802112497848</v>
      </c>
      <c r="AL11" s="73"/>
      <c r="AP11" s="49">
        <v>26918.800000000003</v>
      </c>
      <c r="AQ11" s="39">
        <v>44541</v>
      </c>
      <c r="AR11" s="39">
        <v>22756</v>
      </c>
      <c r="AS11" s="39">
        <v>16054</v>
      </c>
      <c r="AT11">
        <v>0</v>
      </c>
      <c r="AU11">
        <v>0</v>
      </c>
      <c r="AV11" s="27">
        <v>6.8534294829650386E-2</v>
      </c>
      <c r="AX11" s="73"/>
      <c r="BB11" s="49">
        <v>26816.400000000001</v>
      </c>
      <c r="BC11" s="39">
        <v>52372</v>
      </c>
      <c r="BD11" s="40">
        <v>14669</v>
      </c>
      <c r="BE11">
        <v>0</v>
      </c>
      <c r="BF11">
        <v>0</v>
      </c>
      <c r="BG11">
        <v>0</v>
      </c>
      <c r="BH11" s="27">
        <v>5.0229151466640122E-2</v>
      </c>
      <c r="BJ11" s="73"/>
      <c r="BN11" s="49">
        <v>38332.400000000001</v>
      </c>
      <c r="BO11" s="39">
        <v>80992</v>
      </c>
      <c r="BP11" s="39">
        <v>14839</v>
      </c>
      <c r="BQ11" s="39">
        <v>12260</v>
      </c>
      <c r="BR11">
        <v>0</v>
      </c>
      <c r="BS11">
        <v>0</v>
      </c>
      <c r="BT11" s="27">
        <v>6.1873785504862805E-2</v>
      </c>
      <c r="BV11" s="73"/>
      <c r="BZ11" s="49">
        <v>20584.400000000001</v>
      </c>
      <c r="CA11">
        <v>36723</v>
      </c>
      <c r="CB11">
        <v>14738</v>
      </c>
      <c r="CC11">
        <v>11299</v>
      </c>
      <c r="CD11">
        <v>0</v>
      </c>
      <c r="CE11">
        <v>0</v>
      </c>
      <c r="CF11" s="27">
        <v>3.5904641468783596E-2</v>
      </c>
      <c r="CH11" s="73"/>
      <c r="CL11" s="49">
        <v>16157.2</v>
      </c>
      <c r="CM11">
        <v>24196</v>
      </c>
      <c r="CN11">
        <v>16197</v>
      </c>
      <c r="CO11">
        <v>9914</v>
      </c>
      <c r="CP11">
        <v>0</v>
      </c>
      <c r="CQ11">
        <v>0</v>
      </c>
      <c r="CR11" s="27">
        <v>0.12853151530188456</v>
      </c>
      <c r="CT11" s="73"/>
      <c r="CW11" s="27">
        <v>0.10463493442761219</v>
      </c>
      <c r="CX11" s="27">
        <v>0</v>
      </c>
    </row>
    <row r="12" spans="1:207" ht="15.6" hidden="1" x14ac:dyDescent="0.3">
      <c r="A12" s="14" t="s">
        <v>30</v>
      </c>
      <c r="B12" s="23"/>
      <c r="C12" s="23"/>
      <c r="D12" s="24">
        <v>12562.800000000001</v>
      </c>
      <c r="E12" s="5">
        <v>20943</v>
      </c>
      <c r="F12">
        <v>10464</v>
      </c>
      <c r="G12">
        <v>0</v>
      </c>
      <c r="H12">
        <v>0</v>
      </c>
      <c r="I12">
        <v>0</v>
      </c>
      <c r="J12" s="27">
        <v>0.11244160787628887</v>
      </c>
      <c r="K12" s="27">
        <v>0</v>
      </c>
      <c r="L12" s="27">
        <v>7.1766870349709203E-2</v>
      </c>
      <c r="N12" s="73"/>
      <c r="R12" s="49">
        <v>37769.599999999999</v>
      </c>
      <c r="S12">
        <v>74106</v>
      </c>
      <c r="T12">
        <v>20069</v>
      </c>
      <c r="U12">
        <v>592</v>
      </c>
      <c r="V12">
        <v>0</v>
      </c>
      <c r="W12">
        <v>498</v>
      </c>
      <c r="X12" s="27">
        <v>0.28128270607443384</v>
      </c>
      <c r="Z12" s="73"/>
      <c r="AD12" s="49">
        <v>19962.400000000001</v>
      </c>
      <c r="AE12">
        <v>37680</v>
      </c>
      <c r="AF12">
        <v>12226</v>
      </c>
      <c r="AG12">
        <v>12007</v>
      </c>
      <c r="AH12">
        <v>0</v>
      </c>
      <c r="AI12">
        <v>0</v>
      </c>
      <c r="AJ12" s="27">
        <v>0.18526802112497848</v>
      </c>
      <c r="AL12" s="73"/>
      <c r="AP12" s="49">
        <v>27339.200000000004</v>
      </c>
      <c r="AQ12" s="40">
        <v>45634</v>
      </c>
      <c r="AR12" s="39">
        <v>22714</v>
      </c>
      <c r="AS12" s="39">
        <v>0</v>
      </c>
      <c r="AT12">
        <v>0</v>
      </c>
      <c r="AU12">
        <v>0</v>
      </c>
      <c r="AV12" s="27">
        <v>5.3987280012733722E-2</v>
      </c>
      <c r="AX12" s="73"/>
      <c r="BB12" s="49">
        <v>26586</v>
      </c>
      <c r="BC12" s="39">
        <v>51740</v>
      </c>
      <c r="BD12" s="39">
        <v>14725</v>
      </c>
      <c r="BE12">
        <v>0</v>
      </c>
      <c r="BF12">
        <v>0</v>
      </c>
      <c r="BG12">
        <v>0</v>
      </c>
      <c r="BH12" s="27">
        <v>5.8389352071571712E-2</v>
      </c>
      <c r="BJ12" s="73"/>
      <c r="BN12" s="49">
        <v>38226.800000000003</v>
      </c>
      <c r="BO12" s="39">
        <v>80778</v>
      </c>
      <c r="BP12" s="39">
        <v>14789</v>
      </c>
      <c r="BQ12" s="39">
        <v>12152</v>
      </c>
      <c r="BR12">
        <v>0</v>
      </c>
      <c r="BS12">
        <v>0</v>
      </c>
      <c r="BT12" s="27">
        <v>6.4458182209756978E-2</v>
      </c>
      <c r="BV12" s="73"/>
      <c r="BZ12" s="49">
        <v>20625.2</v>
      </c>
      <c r="CA12">
        <v>36818</v>
      </c>
      <c r="CB12">
        <v>14745</v>
      </c>
      <c r="CC12">
        <v>11287</v>
      </c>
      <c r="CD12">
        <v>0</v>
      </c>
      <c r="CE12">
        <v>0</v>
      </c>
      <c r="CF12" s="27">
        <v>3.3993723947356065E-2</v>
      </c>
      <c r="CH12" s="73"/>
      <c r="CL12" s="49">
        <v>15752</v>
      </c>
      <c r="CM12">
        <v>23235</v>
      </c>
      <c r="CN12">
        <v>16145</v>
      </c>
      <c r="CO12">
        <v>9766</v>
      </c>
      <c r="CP12">
        <v>0</v>
      </c>
      <c r="CQ12">
        <v>0</v>
      </c>
      <c r="CR12" s="27">
        <v>0.15038672721977112</v>
      </c>
      <c r="CT12" s="73"/>
      <c r="CW12" s="27">
        <v>0.11244160787628887</v>
      </c>
      <c r="CX12" s="27">
        <v>0</v>
      </c>
    </row>
    <row r="13" spans="1:207" ht="15.6" hidden="1" x14ac:dyDescent="0.3">
      <c r="A13" s="14" t="s">
        <v>30</v>
      </c>
      <c r="B13" s="23"/>
      <c r="C13" s="23"/>
      <c r="D13" s="24">
        <v>12814.4</v>
      </c>
      <c r="E13" s="5">
        <v>21666</v>
      </c>
      <c r="F13">
        <v>10370</v>
      </c>
      <c r="G13">
        <v>0</v>
      </c>
      <c r="H13">
        <v>0</v>
      </c>
      <c r="I13">
        <v>0</v>
      </c>
      <c r="J13" s="27">
        <v>0.11208471891674468</v>
      </c>
      <c r="K13" s="27">
        <v>0</v>
      </c>
      <c r="L13" s="27">
        <v>5.3176790477386798E-2</v>
      </c>
      <c r="N13" s="73"/>
      <c r="R13" s="49">
        <v>37436.6</v>
      </c>
      <c r="S13">
        <v>73251</v>
      </c>
      <c r="T13">
        <v>19945</v>
      </c>
      <c r="U13">
        <v>776</v>
      </c>
      <c r="V13">
        <v>0</v>
      </c>
      <c r="W13">
        <v>791</v>
      </c>
      <c r="X13" s="27">
        <v>0.28761935933200644</v>
      </c>
      <c r="Z13" s="73"/>
      <c r="AD13" s="49">
        <v>19962.400000000001</v>
      </c>
      <c r="AE13">
        <v>37680</v>
      </c>
      <c r="AF13">
        <v>12226</v>
      </c>
      <c r="AG13">
        <v>12671</v>
      </c>
      <c r="AH13">
        <v>0</v>
      </c>
      <c r="AI13">
        <v>0</v>
      </c>
      <c r="AJ13" s="27">
        <v>0.18526802112497848</v>
      </c>
      <c r="AL13" s="73"/>
      <c r="AP13" s="49">
        <v>26974.800000000003</v>
      </c>
      <c r="AQ13" s="39">
        <v>44728</v>
      </c>
      <c r="AR13" s="39">
        <v>22709</v>
      </c>
      <c r="AS13" s="39">
        <v>16009</v>
      </c>
      <c r="AT13">
        <v>0</v>
      </c>
      <c r="AU13">
        <v>0</v>
      </c>
      <c r="AV13" s="27">
        <v>6.6596538336436001E-2</v>
      </c>
      <c r="AX13" s="73"/>
      <c r="BB13" s="49">
        <v>26586</v>
      </c>
      <c r="BC13" s="39">
        <v>51740</v>
      </c>
      <c r="BD13" s="39">
        <v>14725</v>
      </c>
      <c r="BE13">
        <v>0</v>
      </c>
      <c r="BF13">
        <v>0</v>
      </c>
      <c r="BG13">
        <v>0</v>
      </c>
      <c r="BH13" s="27">
        <v>5.8389352071571712E-2</v>
      </c>
      <c r="BJ13" s="73"/>
      <c r="BN13" s="49">
        <v>38260.800000000003</v>
      </c>
      <c r="BO13" s="39">
        <v>80809</v>
      </c>
      <c r="BP13" s="39">
        <v>14843</v>
      </c>
      <c r="BQ13" s="39">
        <v>269</v>
      </c>
      <c r="BR13">
        <v>0</v>
      </c>
      <c r="BS13">
        <v>0</v>
      </c>
      <c r="BT13" s="27">
        <v>6.3626084785832704E-2</v>
      </c>
      <c r="BV13" s="73"/>
      <c r="BZ13" s="49">
        <v>20639.599999999999</v>
      </c>
      <c r="CA13">
        <v>36850</v>
      </c>
      <c r="CB13">
        <v>14749</v>
      </c>
      <c r="CC13">
        <v>11283</v>
      </c>
      <c r="CD13">
        <v>0</v>
      </c>
      <c r="CE13">
        <v>0</v>
      </c>
      <c r="CF13" s="27">
        <v>3.3319282469205257E-2</v>
      </c>
      <c r="CH13" s="73"/>
      <c r="CL13" s="49">
        <v>15783.6</v>
      </c>
      <c r="CM13">
        <v>23310</v>
      </c>
      <c r="CN13">
        <v>16149</v>
      </c>
      <c r="CO13">
        <v>9762</v>
      </c>
      <c r="CP13">
        <v>0</v>
      </c>
      <c r="CQ13">
        <v>0</v>
      </c>
      <c r="CR13" s="27">
        <v>0.14868232273654008</v>
      </c>
      <c r="CT13" s="73"/>
      <c r="CW13" s="27">
        <v>0.11208471891674468</v>
      </c>
      <c r="CX13" s="27">
        <v>0</v>
      </c>
    </row>
    <row r="14" spans="1:207" s="4" customFormat="1" x14ac:dyDescent="0.3">
      <c r="A14" s="15" t="s">
        <v>30</v>
      </c>
      <c r="B14" s="41" t="s">
        <v>42</v>
      </c>
      <c r="C14" s="41">
        <v>22829</v>
      </c>
      <c r="D14" s="25">
        <v>12693.2</v>
      </c>
      <c r="E14" s="7">
        <v>21268.799999999999</v>
      </c>
      <c r="F14" s="4">
        <v>10464.200000000001</v>
      </c>
      <c r="G14" s="4">
        <v>0</v>
      </c>
      <c r="H14" s="4">
        <v>0</v>
      </c>
      <c r="I14" s="4">
        <v>0</v>
      </c>
      <c r="J14" s="27">
        <v>0.11009845665670775</v>
      </c>
      <c r="K14" s="27">
        <v>7.1043835060796614E-3</v>
      </c>
      <c r="L14" s="27">
        <v>6.2131948190127129E-2</v>
      </c>
      <c r="M14" s="27">
        <v>8.7835230545015679E-3</v>
      </c>
      <c r="N14" s="73">
        <v>6.8342897192167892E-2</v>
      </c>
      <c r="O14" s="27" t="e">
        <v>#DIV/0!</v>
      </c>
      <c r="P14">
        <v>52551.4</v>
      </c>
      <c r="Q14" s="26">
        <v>81057</v>
      </c>
      <c r="R14" s="49">
        <v>38084.680000000008</v>
      </c>
      <c r="S14">
        <v>74824.399999999994</v>
      </c>
      <c r="T14">
        <v>20114.2</v>
      </c>
      <c r="U14">
        <v>355</v>
      </c>
      <c r="V14">
        <v>0</v>
      </c>
      <c r="W14">
        <v>546.20000000000005</v>
      </c>
      <c r="X14" s="27">
        <v>0.27528705229546679</v>
      </c>
      <c r="Y14" s="27">
        <v>1.3889887733621813E-2</v>
      </c>
      <c r="Z14" s="73">
        <v>7.6891570129661913E-2</v>
      </c>
      <c r="AA14" s="27" t="e">
        <v>#DIV/0!</v>
      </c>
      <c r="AB14">
        <v>24501.8</v>
      </c>
      <c r="AC14">
        <v>48120</v>
      </c>
      <c r="AD14" s="49">
        <v>19971.760000000002</v>
      </c>
      <c r="AE14">
        <v>37698.400000000001</v>
      </c>
      <c r="AF14">
        <v>12231</v>
      </c>
      <c r="AG14">
        <v>12337.6</v>
      </c>
      <c r="AH14">
        <v>0</v>
      </c>
      <c r="AI14">
        <v>0</v>
      </c>
      <c r="AJ14" s="27">
        <v>0.1848860083748948</v>
      </c>
      <c r="AK14" s="84">
        <v>5.2312434406600965E-4</v>
      </c>
      <c r="AL14" s="73">
        <v>0.21657522859517869</v>
      </c>
      <c r="AM14" s="27" t="e">
        <v>#DIV/0!</v>
      </c>
      <c r="AN14">
        <v>28899.4</v>
      </c>
      <c r="AO14">
        <v>48676</v>
      </c>
      <c r="AP14" s="49">
        <v>26964.480000000003</v>
      </c>
      <c r="AQ14">
        <v>44734</v>
      </c>
      <c r="AR14">
        <v>22677.200000000001</v>
      </c>
      <c r="AS14">
        <v>11429.8</v>
      </c>
      <c r="AT14">
        <v>0</v>
      </c>
      <c r="AU14">
        <v>0</v>
      </c>
      <c r="AV14" s="27">
        <v>6.6953639175899776E-2</v>
      </c>
      <c r="AW14" s="27">
        <v>7.9077577884627322E-3</v>
      </c>
      <c r="AX14" s="73">
        <v>8.0984468732024001E-2</v>
      </c>
      <c r="AY14" s="27" t="e">
        <v>#DIV/0!</v>
      </c>
      <c r="AZ14">
        <v>28234.6</v>
      </c>
      <c r="BA14">
        <v>55474</v>
      </c>
      <c r="BB14" s="49">
        <v>26632.079999999998</v>
      </c>
      <c r="BC14">
        <v>51866.400000000001</v>
      </c>
      <c r="BD14">
        <v>14713.8</v>
      </c>
      <c r="BE14">
        <v>0</v>
      </c>
      <c r="BF14">
        <v>0</v>
      </c>
      <c r="BG14">
        <v>0</v>
      </c>
      <c r="BH14" s="27">
        <v>5.6757311950585469E-2</v>
      </c>
      <c r="BI14" s="27">
        <v>3.6493526525323882E-3</v>
      </c>
      <c r="BJ14" s="73">
        <v>6.5032267368496932E-2</v>
      </c>
      <c r="BK14" s="27" t="e">
        <v>#DIV/0!</v>
      </c>
      <c r="BL14">
        <v>40860.6</v>
      </c>
      <c r="BM14">
        <v>86423</v>
      </c>
      <c r="BN14" s="49">
        <v>38241.680000000008</v>
      </c>
      <c r="BO14">
        <v>80776.399999999994</v>
      </c>
      <c r="BP14">
        <v>14827.8</v>
      </c>
      <c r="BQ14">
        <v>9774</v>
      </c>
      <c r="BR14">
        <v>0</v>
      </c>
      <c r="BS14">
        <v>0</v>
      </c>
      <c r="BT14" s="27">
        <v>6.4094017219521765E-2</v>
      </c>
      <c r="BU14" s="27">
        <v>1.4152243028500589E-3</v>
      </c>
      <c r="BV14" s="73">
        <v>6.5336773775499651E-2</v>
      </c>
      <c r="BW14" s="27" t="e">
        <v>#DIV/0!</v>
      </c>
      <c r="BX14">
        <v>21351</v>
      </c>
      <c r="BY14">
        <v>38534</v>
      </c>
      <c r="BZ14" s="49">
        <v>20662.48</v>
      </c>
      <c r="CA14">
        <v>36907.4</v>
      </c>
      <c r="CB14">
        <v>14748.8</v>
      </c>
      <c r="CC14">
        <v>10831.8</v>
      </c>
      <c r="CD14">
        <v>0</v>
      </c>
      <c r="CE14">
        <v>0</v>
      </c>
      <c r="CF14" s="27">
        <v>3.2247669898365437E-2</v>
      </c>
      <c r="CG14" s="27">
        <v>5.7791317842759756E-3</v>
      </c>
      <c r="CH14" s="73">
        <v>4.2212072455493813E-2</v>
      </c>
      <c r="CI14" s="27" t="e">
        <v>#DIV/0!</v>
      </c>
      <c r="CJ14">
        <v>18540.2</v>
      </c>
      <c r="CK14">
        <v>28067</v>
      </c>
      <c r="CL14" s="49">
        <v>15973.680000000002</v>
      </c>
      <c r="CM14">
        <v>23761</v>
      </c>
      <c r="CN14">
        <v>16173.2</v>
      </c>
      <c r="CO14">
        <v>9958.7999999999993</v>
      </c>
      <c r="CP14">
        <v>0</v>
      </c>
      <c r="CQ14">
        <v>0</v>
      </c>
      <c r="CR14" s="27">
        <v>0.13843000614880091</v>
      </c>
      <c r="CS14" s="27">
        <v>1.4887066388326745E-2</v>
      </c>
      <c r="CT14" s="73">
        <v>0.1534186054797449</v>
      </c>
      <c r="CU14" s="27" t="e">
        <v>#DIV/0!</v>
      </c>
      <c r="CV14"/>
      <c r="CW14" s="27">
        <v>0.11009845665670775</v>
      </c>
      <c r="CX14" s="27">
        <v>7.1043835060796614E-3</v>
      </c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GV14" s="4" t="e">
        <f t="shared" ref="GV14:GY14" si="16">AVERAGE(GV9:GV13)</f>
        <v>#DIV/0!</v>
      </c>
      <c r="GW14" s="4" t="e">
        <f t="shared" si="16"/>
        <v>#DIV/0!</v>
      </c>
      <c r="GX14" s="4" t="e">
        <f t="shared" si="16"/>
        <v>#DIV/0!</v>
      </c>
      <c r="GY14" s="4" t="e">
        <f t="shared" si="16"/>
        <v>#DIV/0!</v>
      </c>
    </row>
    <row r="15" spans="1:207" ht="15.6" hidden="1" x14ac:dyDescent="0.3">
      <c r="A15" s="14" t="s">
        <v>31</v>
      </c>
      <c r="B15" s="23"/>
      <c r="C15" s="23"/>
      <c r="D15" s="24">
        <v>12858</v>
      </c>
      <c r="E15" s="5">
        <v>21656</v>
      </c>
      <c r="F15">
        <v>10489</v>
      </c>
      <c r="G15">
        <v>0</v>
      </c>
      <c r="H15">
        <v>0</v>
      </c>
      <c r="I15">
        <v>0</v>
      </c>
      <c r="J15" s="27">
        <v>0.10728362051523641</v>
      </c>
      <c r="K15" s="27">
        <v>0</v>
      </c>
      <c r="L15" s="27">
        <v>4.996231768408925E-2</v>
      </c>
      <c r="N15" s="73"/>
      <c r="R15" s="49">
        <v>38252</v>
      </c>
      <c r="S15">
        <v>75055</v>
      </c>
      <c r="T15">
        <v>20127</v>
      </c>
      <c r="U15">
        <v>164</v>
      </c>
      <c r="V15">
        <v>0</v>
      </c>
      <c r="W15">
        <v>896</v>
      </c>
      <c r="X15" s="27">
        <v>0.272116972773841</v>
      </c>
      <c r="Z15" s="73"/>
      <c r="AD15" s="49">
        <v>19962.400000000001</v>
      </c>
      <c r="AE15">
        <v>37680</v>
      </c>
      <c r="AF15">
        <v>12226</v>
      </c>
      <c r="AG15">
        <v>12671</v>
      </c>
      <c r="AH15">
        <v>0</v>
      </c>
      <c r="AI15">
        <v>0</v>
      </c>
      <c r="AJ15" s="27">
        <v>0.18530127169139846</v>
      </c>
      <c r="AL15" s="73"/>
      <c r="AP15" s="49">
        <v>26349.599999999999</v>
      </c>
      <c r="AQ15" s="39">
        <v>43360</v>
      </c>
      <c r="AR15" s="39">
        <v>22514</v>
      </c>
      <c r="AS15" s="40">
        <v>20210</v>
      </c>
      <c r="AT15">
        <v>0</v>
      </c>
      <c r="AU15">
        <v>0</v>
      </c>
      <c r="AV15" s="27">
        <v>8.8261754162572245E-2</v>
      </c>
      <c r="AX15" s="73"/>
      <c r="BB15" s="49">
        <v>27534.800000000003</v>
      </c>
      <c r="BC15" s="39">
        <v>53978</v>
      </c>
      <c r="BD15" s="39">
        <v>14859</v>
      </c>
      <c r="BE15">
        <v>0</v>
      </c>
      <c r="BF15">
        <v>0</v>
      </c>
      <c r="BG15">
        <v>0</v>
      </c>
      <c r="BH15" s="27">
        <v>2.4819731119579386E-2</v>
      </c>
      <c r="BJ15" s="73"/>
      <c r="BN15" s="49">
        <v>38298.400000000001</v>
      </c>
      <c r="BO15" s="39">
        <v>80946</v>
      </c>
      <c r="BP15" s="39">
        <v>14800</v>
      </c>
      <c r="BQ15" s="39">
        <v>638</v>
      </c>
      <c r="BR15">
        <v>0</v>
      </c>
      <c r="BS15">
        <v>0</v>
      </c>
      <c r="BT15" s="27">
        <v>6.2728821191534279E-2</v>
      </c>
      <c r="BV15" s="73"/>
      <c r="BZ15" s="49">
        <v>20675.599999999999</v>
      </c>
      <c r="CA15">
        <v>36940</v>
      </c>
      <c r="CB15">
        <v>14749</v>
      </c>
      <c r="CC15">
        <v>11288</v>
      </c>
      <c r="CD15">
        <v>0</v>
      </c>
      <c r="CE15">
        <v>0</v>
      </c>
      <c r="CF15" s="27">
        <v>3.1678531285125586E-2</v>
      </c>
      <c r="CH15" s="73"/>
      <c r="CL15" s="49">
        <v>15882.4</v>
      </c>
      <c r="CM15">
        <v>23546</v>
      </c>
      <c r="CN15">
        <v>16160</v>
      </c>
      <c r="CO15">
        <v>9101</v>
      </c>
      <c r="CP15">
        <v>0</v>
      </c>
      <c r="CQ15">
        <v>0</v>
      </c>
      <c r="CR15" s="27">
        <v>0.14339956421375105</v>
      </c>
      <c r="CT15" s="73"/>
      <c r="CW15" s="27">
        <v>0.10728362051523641</v>
      </c>
      <c r="CX15" s="27">
        <v>0</v>
      </c>
    </row>
    <row r="16" spans="1:207" ht="15.6" hidden="1" x14ac:dyDescent="0.3">
      <c r="A16" s="14" t="s">
        <v>31</v>
      </c>
      <c r="B16" s="23"/>
      <c r="C16" s="23"/>
      <c r="D16" s="24">
        <v>12677.2</v>
      </c>
      <c r="E16" s="5">
        <v>21190</v>
      </c>
      <c r="F16">
        <v>10503</v>
      </c>
      <c r="G16">
        <v>0</v>
      </c>
      <c r="H16">
        <v>0</v>
      </c>
      <c r="I16">
        <v>0</v>
      </c>
      <c r="J16" s="27">
        <v>0.10911987888692122</v>
      </c>
      <c r="K16" s="27">
        <v>0</v>
      </c>
      <c r="L16" s="27">
        <v>6.3321068108938838E-2</v>
      </c>
      <c r="N16" s="73"/>
      <c r="R16" s="49">
        <v>37729.200000000004</v>
      </c>
      <c r="S16">
        <v>73921</v>
      </c>
      <c r="T16">
        <v>20030</v>
      </c>
      <c r="U16">
        <v>94</v>
      </c>
      <c r="V16">
        <v>0</v>
      </c>
      <c r="W16">
        <v>744</v>
      </c>
      <c r="X16" s="27">
        <v>0.28206513879480283</v>
      </c>
      <c r="Z16" s="73"/>
      <c r="AD16" s="49">
        <v>19962.400000000001</v>
      </c>
      <c r="AE16">
        <v>37680</v>
      </c>
      <c r="AF16">
        <v>12226</v>
      </c>
      <c r="AG16">
        <v>12767</v>
      </c>
      <c r="AH16">
        <v>0</v>
      </c>
      <c r="AI16">
        <v>0</v>
      </c>
      <c r="AJ16" s="27">
        <v>0.18530127169139846</v>
      </c>
      <c r="AL16" s="73"/>
      <c r="AP16" s="49">
        <v>26614.400000000001</v>
      </c>
      <c r="AQ16" s="39">
        <v>43978</v>
      </c>
      <c r="AR16" s="39">
        <v>22558</v>
      </c>
      <c r="AS16" s="39">
        <v>22111</v>
      </c>
      <c r="AT16">
        <v>0</v>
      </c>
      <c r="AU16">
        <v>0</v>
      </c>
      <c r="AV16" s="27">
        <v>7.9099251221436379E-2</v>
      </c>
      <c r="AX16" s="73"/>
      <c r="BB16" s="49">
        <v>27484.800000000003</v>
      </c>
      <c r="BC16" s="39">
        <v>53858</v>
      </c>
      <c r="BD16" s="39">
        <v>14854</v>
      </c>
      <c r="BE16">
        <v>0</v>
      </c>
      <c r="BF16">
        <v>0</v>
      </c>
      <c r="BG16">
        <v>0</v>
      </c>
      <c r="BH16" s="27">
        <v>2.6590545269092766E-2</v>
      </c>
      <c r="BJ16" s="73"/>
      <c r="BN16" s="49">
        <v>38189.200000000004</v>
      </c>
      <c r="BO16" s="39">
        <v>80641</v>
      </c>
      <c r="BP16" s="39">
        <v>14832</v>
      </c>
      <c r="BQ16" s="39">
        <v>12104</v>
      </c>
      <c r="BR16">
        <v>0</v>
      </c>
      <c r="BS16">
        <v>0</v>
      </c>
      <c r="BT16" s="27">
        <v>6.5401256925817747E-2</v>
      </c>
      <c r="BV16" s="73"/>
      <c r="BZ16" s="49">
        <v>20628</v>
      </c>
      <c r="CA16">
        <v>36827</v>
      </c>
      <c r="CB16">
        <v>14743</v>
      </c>
      <c r="CC16">
        <v>11294</v>
      </c>
      <c r="CD16">
        <v>0</v>
      </c>
      <c r="CE16">
        <v>0</v>
      </c>
      <c r="CF16" s="27">
        <v>3.3907830648182841E-2</v>
      </c>
      <c r="CH16" s="73"/>
      <c r="CL16" s="49">
        <v>15996</v>
      </c>
      <c r="CM16">
        <v>23814</v>
      </c>
      <c r="CN16">
        <v>16176</v>
      </c>
      <c r="CO16">
        <v>8822</v>
      </c>
      <c r="CP16">
        <v>0</v>
      </c>
      <c r="CQ16">
        <v>0</v>
      </c>
      <c r="CR16" s="27">
        <v>0.13727266843569999</v>
      </c>
      <c r="CT16" s="73"/>
      <c r="CW16" s="27">
        <v>0.10911987888692122</v>
      </c>
      <c r="CX16" s="27">
        <v>0</v>
      </c>
    </row>
    <row r="17" spans="1:207" ht="15.6" hidden="1" x14ac:dyDescent="0.3">
      <c r="A17" s="14" t="s">
        <v>31</v>
      </c>
      <c r="B17" s="23"/>
      <c r="C17" s="23"/>
      <c r="D17" s="24">
        <v>12858</v>
      </c>
      <c r="E17" s="5">
        <v>21656</v>
      </c>
      <c r="F17">
        <v>10489</v>
      </c>
      <c r="G17">
        <v>0</v>
      </c>
      <c r="H17">
        <v>0</v>
      </c>
      <c r="I17">
        <v>0</v>
      </c>
      <c r="J17" s="27">
        <v>0.11241051415000253</v>
      </c>
      <c r="K17" s="27">
        <v>0</v>
      </c>
      <c r="L17" s="27">
        <v>4.996231768408925E-2</v>
      </c>
      <c r="N17" s="73"/>
      <c r="R17" s="49">
        <v>38023.000000000007</v>
      </c>
      <c r="S17">
        <v>74394</v>
      </c>
      <c r="T17">
        <v>20119</v>
      </c>
      <c r="U17">
        <v>193</v>
      </c>
      <c r="V17">
        <v>0</v>
      </c>
      <c r="W17">
        <v>1089</v>
      </c>
      <c r="X17" s="27">
        <v>0.27647452828034486</v>
      </c>
      <c r="Z17" s="73"/>
      <c r="AD17" s="49">
        <v>19962.400000000001</v>
      </c>
      <c r="AE17">
        <v>37680</v>
      </c>
      <c r="AF17">
        <v>12226</v>
      </c>
      <c r="AG17">
        <v>12671</v>
      </c>
      <c r="AH17">
        <v>0</v>
      </c>
      <c r="AI17">
        <v>0</v>
      </c>
      <c r="AJ17" s="27">
        <v>0.18530127169139846</v>
      </c>
      <c r="AL17" s="73"/>
      <c r="AP17" s="49">
        <v>26706.400000000001</v>
      </c>
      <c r="AQ17" s="39">
        <v>44200</v>
      </c>
      <c r="AR17" s="39">
        <v>22566</v>
      </c>
      <c r="AS17" s="39">
        <v>22162</v>
      </c>
      <c r="AT17">
        <v>0</v>
      </c>
      <c r="AU17">
        <v>0</v>
      </c>
      <c r="AV17" s="27">
        <v>7.5915904278141474E-2</v>
      </c>
      <c r="AX17" s="73"/>
      <c r="BB17" s="49">
        <v>26586</v>
      </c>
      <c r="BC17" s="39">
        <v>51740</v>
      </c>
      <c r="BD17" s="39">
        <v>14725</v>
      </c>
      <c r="BE17">
        <v>0</v>
      </c>
      <c r="BF17">
        <v>0</v>
      </c>
      <c r="BG17">
        <v>0</v>
      </c>
      <c r="BH17" s="27">
        <v>5.8422700420745391E-2</v>
      </c>
      <c r="BJ17" s="73"/>
      <c r="BN17" s="49">
        <v>38202</v>
      </c>
      <c r="BO17" s="39">
        <v>80673</v>
      </c>
      <c r="BP17" s="39">
        <v>14832</v>
      </c>
      <c r="BQ17" s="39">
        <v>12267</v>
      </c>
      <c r="BR17">
        <v>0</v>
      </c>
      <c r="BS17">
        <v>0</v>
      </c>
      <c r="BT17" s="27">
        <v>6.5088004385535525E-2</v>
      </c>
      <c r="BV17" s="73"/>
      <c r="BZ17" s="49">
        <v>20525.2</v>
      </c>
      <c r="CA17">
        <v>36583</v>
      </c>
      <c r="CB17">
        <v>14730</v>
      </c>
      <c r="CC17">
        <v>11302</v>
      </c>
      <c r="CD17">
        <v>0</v>
      </c>
      <c r="CE17">
        <v>0</v>
      </c>
      <c r="CF17" s="27">
        <v>3.8722367928062912E-2</v>
      </c>
      <c r="CH17" s="73"/>
      <c r="CL17" s="49">
        <v>15771.2</v>
      </c>
      <c r="CM17">
        <v>23281</v>
      </c>
      <c r="CN17">
        <v>16147</v>
      </c>
      <c r="CO17">
        <v>10163</v>
      </c>
      <c r="CP17">
        <v>0</v>
      </c>
      <c r="CQ17">
        <v>0</v>
      </c>
      <c r="CR17" s="27">
        <v>0.14939701853170237</v>
      </c>
      <c r="CT17" s="73"/>
      <c r="CW17" s="27">
        <v>0.11241051415000253</v>
      </c>
      <c r="CX17" s="27">
        <v>0</v>
      </c>
    </row>
    <row r="18" spans="1:207" ht="15.6" hidden="1" x14ac:dyDescent="0.3">
      <c r="A18" s="14" t="s">
        <v>31</v>
      </c>
      <c r="B18" s="23"/>
      <c r="C18" s="23"/>
      <c r="D18" s="24">
        <v>12858</v>
      </c>
      <c r="E18" s="5">
        <v>21656</v>
      </c>
      <c r="F18">
        <v>10489</v>
      </c>
      <c r="G18">
        <v>0</v>
      </c>
      <c r="H18">
        <v>0</v>
      </c>
      <c r="I18">
        <v>0</v>
      </c>
      <c r="J18" s="27">
        <v>0.10388549801383297</v>
      </c>
      <c r="K18" s="27">
        <v>0</v>
      </c>
      <c r="L18" s="27">
        <v>4.996231768408925E-2</v>
      </c>
      <c r="N18" s="73"/>
      <c r="R18" s="49">
        <v>38093.800000000003</v>
      </c>
      <c r="S18">
        <v>74853</v>
      </c>
      <c r="T18">
        <v>20233</v>
      </c>
      <c r="U18">
        <v>416</v>
      </c>
      <c r="V18">
        <v>0</v>
      </c>
      <c r="W18">
        <v>297</v>
      </c>
      <c r="X18" s="27">
        <v>0.27512730151239523</v>
      </c>
      <c r="Z18" s="73"/>
      <c r="AD18" s="49">
        <v>20025.2</v>
      </c>
      <c r="AE18">
        <v>37807</v>
      </c>
      <c r="AF18">
        <v>12256</v>
      </c>
      <c r="AG18">
        <v>12793</v>
      </c>
      <c r="AH18">
        <v>0</v>
      </c>
      <c r="AI18">
        <v>0</v>
      </c>
      <c r="AJ18" s="27">
        <v>0.18273829929640689</v>
      </c>
      <c r="AL18" s="73"/>
      <c r="AP18" s="49">
        <v>26378.800000000003</v>
      </c>
      <c r="AQ18" s="39">
        <v>43419</v>
      </c>
      <c r="AR18" s="39">
        <v>22528</v>
      </c>
      <c r="AS18" s="39">
        <v>20154</v>
      </c>
      <c r="AT18">
        <v>0</v>
      </c>
      <c r="AU18">
        <v>0</v>
      </c>
      <c r="AV18" s="27">
        <v>8.7251387524048055E-2</v>
      </c>
      <c r="AX18" s="73"/>
      <c r="BB18" s="49">
        <v>26926.400000000001</v>
      </c>
      <c r="BC18" s="39">
        <v>52526</v>
      </c>
      <c r="BD18" s="39">
        <v>14790</v>
      </c>
      <c r="BE18">
        <v>0</v>
      </c>
      <c r="BF18">
        <v>0</v>
      </c>
      <c r="BG18">
        <v>0</v>
      </c>
      <c r="BH18" s="27">
        <v>4.6366997690858246E-2</v>
      </c>
      <c r="BJ18" s="73"/>
      <c r="BN18" s="49">
        <v>38273.600000000006</v>
      </c>
      <c r="BO18" s="39">
        <v>80841</v>
      </c>
      <c r="BP18" s="39">
        <v>14843</v>
      </c>
      <c r="BQ18" s="39">
        <v>661</v>
      </c>
      <c r="BR18">
        <v>0</v>
      </c>
      <c r="BS18">
        <v>0</v>
      </c>
      <c r="BT18" s="27">
        <v>6.3335747988331165E-2</v>
      </c>
      <c r="BV18" s="73"/>
      <c r="BZ18" s="49">
        <v>20672.800000000003</v>
      </c>
      <c r="CA18">
        <v>36932</v>
      </c>
      <c r="CB18">
        <v>14750</v>
      </c>
      <c r="CC18">
        <v>11287</v>
      </c>
      <c r="CD18">
        <v>0</v>
      </c>
      <c r="CE18">
        <v>0</v>
      </c>
      <c r="CF18" s="27">
        <v>3.1809666541775812E-2</v>
      </c>
      <c r="CH18" s="73"/>
      <c r="CL18" s="49">
        <v>16789.2</v>
      </c>
      <c r="CM18">
        <v>25700</v>
      </c>
      <c r="CN18">
        <v>16273</v>
      </c>
      <c r="CO18">
        <v>10322</v>
      </c>
      <c r="CP18">
        <v>0</v>
      </c>
      <c r="CQ18">
        <v>0</v>
      </c>
      <c r="CR18" s="27">
        <v>9.4492265872759038E-2</v>
      </c>
      <c r="CT18" s="73"/>
      <c r="CW18" s="27">
        <v>0.10388549801383297</v>
      </c>
      <c r="CX18" s="27">
        <v>0</v>
      </c>
    </row>
    <row r="19" spans="1:207" ht="15.6" hidden="1" x14ac:dyDescent="0.3">
      <c r="A19" s="14" t="s">
        <v>31</v>
      </c>
      <c r="B19" s="23"/>
      <c r="C19" s="23"/>
      <c r="D19" s="24">
        <v>12858</v>
      </c>
      <c r="E19" s="5">
        <v>21656</v>
      </c>
      <c r="F19">
        <v>10489</v>
      </c>
      <c r="G19">
        <v>0</v>
      </c>
      <c r="H19">
        <v>0</v>
      </c>
      <c r="I19">
        <v>0</v>
      </c>
      <c r="J19" s="27">
        <v>0.1074517245559127</v>
      </c>
      <c r="K19" s="27">
        <v>0</v>
      </c>
      <c r="L19" s="27">
        <v>4.996231768408925E-2</v>
      </c>
      <c r="N19" s="73"/>
      <c r="R19" s="49">
        <v>38175.4</v>
      </c>
      <c r="S19">
        <v>74923</v>
      </c>
      <c r="T19">
        <v>20103</v>
      </c>
      <c r="U19">
        <v>185</v>
      </c>
      <c r="V19">
        <v>0</v>
      </c>
      <c r="W19">
        <v>825</v>
      </c>
      <c r="X19" s="27">
        <v>0.27357456557645321</v>
      </c>
      <c r="Z19" s="73"/>
      <c r="AD19" s="49">
        <v>19962.400000000001</v>
      </c>
      <c r="AE19">
        <v>37680</v>
      </c>
      <c r="AF19">
        <v>12226</v>
      </c>
      <c r="AG19">
        <v>12899</v>
      </c>
      <c r="AH19">
        <v>0</v>
      </c>
      <c r="AI19">
        <v>0</v>
      </c>
      <c r="AJ19" s="27">
        <v>0.18530127169139846</v>
      </c>
      <c r="AL19" s="73"/>
      <c r="AP19" s="49">
        <v>26662.799999999999</v>
      </c>
      <c r="AQ19" s="39">
        <v>44112</v>
      </c>
      <c r="AR19" s="39">
        <v>22545</v>
      </c>
      <c r="AS19" s="39">
        <v>22154</v>
      </c>
      <c r="AT19">
        <v>0</v>
      </c>
      <c r="AU19">
        <v>0</v>
      </c>
      <c r="AV19" s="27">
        <v>7.7424533916485655E-2</v>
      </c>
      <c r="AX19" s="73"/>
      <c r="BB19" s="49">
        <v>26542</v>
      </c>
      <c r="BC19" s="39">
        <v>51618</v>
      </c>
      <c r="BD19" s="39">
        <v>14737</v>
      </c>
      <c r="BE19">
        <v>0</v>
      </c>
      <c r="BF19">
        <v>0</v>
      </c>
      <c r="BG19">
        <v>0</v>
      </c>
      <c r="BH19" s="27">
        <v>5.9981016872317168E-2</v>
      </c>
      <c r="BJ19" s="73"/>
      <c r="BN19" s="49">
        <v>38298.400000000001</v>
      </c>
      <c r="BO19" s="39">
        <v>80946</v>
      </c>
      <c r="BP19" s="39">
        <v>14800</v>
      </c>
      <c r="BQ19" s="39">
        <v>353</v>
      </c>
      <c r="BR19">
        <v>0</v>
      </c>
      <c r="BS19">
        <v>0</v>
      </c>
      <c r="BT19" s="27">
        <v>6.2728821191534279E-2</v>
      </c>
      <c r="BV19" s="73"/>
      <c r="BZ19" s="49">
        <v>20782.800000000003</v>
      </c>
      <c r="CA19">
        <v>37196</v>
      </c>
      <c r="CB19">
        <v>14761</v>
      </c>
      <c r="CC19">
        <v>8985</v>
      </c>
      <c r="CD19">
        <v>0</v>
      </c>
      <c r="CE19">
        <v>0</v>
      </c>
      <c r="CF19" s="27">
        <v>2.6657924316223169E-2</v>
      </c>
      <c r="CH19" s="73"/>
      <c r="CL19" s="49">
        <v>16242.400000000001</v>
      </c>
      <c r="CM19">
        <v>24400</v>
      </c>
      <c r="CN19">
        <v>16206</v>
      </c>
      <c r="CO19">
        <v>9482</v>
      </c>
      <c r="CP19">
        <v>0</v>
      </c>
      <c r="CQ19">
        <v>0</v>
      </c>
      <c r="CR19" s="27">
        <v>0.12398334519880047</v>
      </c>
      <c r="CT19" s="73"/>
      <c r="CW19" s="27">
        <v>0.1074517245559127</v>
      </c>
      <c r="CX19" s="27">
        <v>0</v>
      </c>
    </row>
    <row r="20" spans="1:207" s="4" customFormat="1" x14ac:dyDescent="0.3">
      <c r="A20" s="15" t="s">
        <v>31</v>
      </c>
      <c r="B20" s="41" t="s">
        <v>43</v>
      </c>
      <c r="C20" s="41">
        <v>22829</v>
      </c>
      <c r="D20" s="25">
        <v>12821.84</v>
      </c>
      <c r="E20" s="7">
        <v>21562.799999999999</v>
      </c>
      <c r="F20" s="4">
        <v>10491.8</v>
      </c>
      <c r="G20" s="4">
        <v>0</v>
      </c>
      <c r="H20" s="4">
        <v>0</v>
      </c>
      <c r="I20" s="4">
        <v>0</v>
      </c>
      <c r="J20" s="27">
        <v>0.10803024722438118</v>
      </c>
      <c r="K20" s="27">
        <v>7.6299561746044926E-3</v>
      </c>
      <c r="L20" s="27">
        <v>5.2634067769059163E-2</v>
      </c>
      <c r="M20" s="84">
        <v>5.9742148088835758E-3</v>
      </c>
      <c r="N20" s="73">
        <v>5.5464540715756308E-2</v>
      </c>
      <c r="O20" s="27" t="e">
        <v>#DIV/0!</v>
      </c>
      <c r="P20">
        <v>52552.4</v>
      </c>
      <c r="Q20" s="26">
        <v>81057</v>
      </c>
      <c r="R20" s="49">
        <v>38054.68</v>
      </c>
      <c r="S20">
        <v>74629.2</v>
      </c>
      <c r="T20">
        <v>20122.400000000001</v>
      </c>
      <c r="U20">
        <v>210.4</v>
      </c>
      <c r="V20">
        <v>0</v>
      </c>
      <c r="W20">
        <v>770.2</v>
      </c>
      <c r="X20" s="83">
        <v>0.27587170138756745</v>
      </c>
      <c r="Y20" s="83">
        <v>3.8291976395713159E-3</v>
      </c>
      <c r="Z20" s="73">
        <v>7.9299752026351866E-2</v>
      </c>
      <c r="AA20" s="27" t="e">
        <v>#DIV/0!</v>
      </c>
      <c r="AB20">
        <v>24502.799999999999</v>
      </c>
      <c r="AC20">
        <v>48120</v>
      </c>
      <c r="AD20" s="49">
        <v>19974.960000000003</v>
      </c>
      <c r="AE20">
        <v>37705.4</v>
      </c>
      <c r="AF20">
        <v>12232</v>
      </c>
      <c r="AG20">
        <v>12760.2</v>
      </c>
      <c r="AH20">
        <v>0</v>
      </c>
      <c r="AI20">
        <v>0</v>
      </c>
      <c r="AJ20" s="27">
        <v>0.18478867721240008</v>
      </c>
      <c r="AK20" s="27">
        <v>1.1461960999313158E-3</v>
      </c>
      <c r="AL20" s="73">
        <v>0.21642975893599331</v>
      </c>
      <c r="AM20" s="27" t="e">
        <v>#DIV/0!</v>
      </c>
      <c r="AN20">
        <v>28900.400000000001</v>
      </c>
      <c r="AO20">
        <v>48676</v>
      </c>
      <c r="AP20" s="49">
        <v>26542.400000000001</v>
      </c>
      <c r="AQ20">
        <v>43813.8</v>
      </c>
      <c r="AR20">
        <v>22542.2</v>
      </c>
      <c r="AS20">
        <v>21358.2</v>
      </c>
      <c r="AT20">
        <v>0</v>
      </c>
      <c r="AU20">
        <v>0</v>
      </c>
      <c r="AV20" s="27">
        <v>8.1590566220536731E-2</v>
      </c>
      <c r="AW20" s="84">
        <v>5.7513891828813038E-3</v>
      </c>
      <c r="AX20" s="73">
        <v>9.9889062371599904E-2</v>
      </c>
      <c r="AY20" s="27" t="e">
        <v>#DIV/0!</v>
      </c>
      <c r="AZ20">
        <v>28235.599999999999</v>
      </c>
      <c r="BA20">
        <v>55474</v>
      </c>
      <c r="BB20" s="49">
        <v>27014.799999999999</v>
      </c>
      <c r="BC20">
        <v>52744</v>
      </c>
      <c r="BD20">
        <v>14793</v>
      </c>
      <c r="BE20">
        <v>0</v>
      </c>
      <c r="BF20">
        <v>0</v>
      </c>
      <c r="BG20">
        <v>0</v>
      </c>
      <c r="BH20" s="27">
        <v>4.3236198274518668E-2</v>
      </c>
      <c r="BI20" s="27">
        <v>1.6860195200099872E-2</v>
      </c>
      <c r="BJ20" s="73">
        <v>4.9212243573565996E-2</v>
      </c>
      <c r="BK20" s="27" t="e">
        <v>#DIV/0!</v>
      </c>
      <c r="BL20">
        <v>40861.599999999999</v>
      </c>
      <c r="BM20">
        <v>86423</v>
      </c>
      <c r="BN20" s="49">
        <v>38252.32</v>
      </c>
      <c r="BO20">
        <v>80809.399999999994</v>
      </c>
      <c r="BP20">
        <v>14821.4</v>
      </c>
      <c r="BQ20">
        <v>5204.6000000000004</v>
      </c>
      <c r="BR20">
        <v>0</v>
      </c>
      <c r="BS20">
        <v>0</v>
      </c>
      <c r="BT20" s="27">
        <v>6.3856530336550671E-2</v>
      </c>
      <c r="BU20" s="27">
        <v>1.2958953135415753E-3</v>
      </c>
      <c r="BV20" s="73">
        <v>6.4954930979021858E-2</v>
      </c>
      <c r="BW20" s="27" t="e">
        <v>#DIV/0!</v>
      </c>
      <c r="BX20">
        <v>21352</v>
      </c>
      <c r="BY20">
        <v>38534</v>
      </c>
      <c r="BZ20" s="49">
        <v>20656.88</v>
      </c>
      <c r="CA20">
        <v>36895.599999999999</v>
      </c>
      <c r="CB20">
        <v>14746.6</v>
      </c>
      <c r="CC20">
        <v>10831.2</v>
      </c>
      <c r="CD20">
        <v>0</v>
      </c>
      <c r="CE20">
        <v>0</v>
      </c>
      <c r="CF20" s="27">
        <v>3.2555264143874066E-2</v>
      </c>
      <c r="CG20" s="27">
        <v>4.3579180397925084E-3</v>
      </c>
      <c r="CH20" s="73">
        <v>4.2518295531219219E-2</v>
      </c>
      <c r="CI20" s="27" t="e">
        <v>#DIV/0!</v>
      </c>
      <c r="CJ20">
        <v>18541.2</v>
      </c>
      <c r="CK20">
        <v>28067</v>
      </c>
      <c r="CL20" s="49">
        <v>16136.240000000002</v>
      </c>
      <c r="CM20">
        <v>24148.2</v>
      </c>
      <c r="CN20">
        <v>16192.4</v>
      </c>
      <c r="CO20">
        <v>9578</v>
      </c>
      <c r="CP20">
        <v>0</v>
      </c>
      <c r="CQ20">
        <v>0</v>
      </c>
      <c r="CR20" s="27">
        <v>0.12970897245054253</v>
      </c>
      <c r="CS20" s="27">
        <v>2.1824643112134477E-2</v>
      </c>
      <c r="CT20" s="73">
        <v>0.13962304485694943</v>
      </c>
      <c r="CU20" s="27" t="e">
        <v>#DIV/0!</v>
      </c>
      <c r="CV20"/>
      <c r="CW20" s="27">
        <v>0.10803024722438118</v>
      </c>
      <c r="CX20" s="27">
        <v>7.6299561746044926E-3</v>
      </c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GV20" s="4" t="e">
        <f t="shared" ref="GV20:GY20" si="17">AVERAGE(GV15:GV19)</f>
        <v>#DIV/0!</v>
      </c>
      <c r="GW20" s="4" t="e">
        <f t="shared" si="17"/>
        <v>#DIV/0!</v>
      </c>
      <c r="GX20" s="4" t="e">
        <f t="shared" si="17"/>
        <v>#DIV/0!</v>
      </c>
      <c r="GY20" s="4" t="e">
        <f t="shared" si="17"/>
        <v>#DIV/0!</v>
      </c>
    </row>
    <row r="21" spans="1:207" ht="15.6" hidden="1" x14ac:dyDescent="0.3">
      <c r="A21" s="14" t="s">
        <v>32</v>
      </c>
      <c r="B21" s="23"/>
      <c r="C21" s="23"/>
      <c r="D21" s="24">
        <v>12858</v>
      </c>
      <c r="E21" s="5">
        <v>21656</v>
      </c>
      <c r="F21">
        <v>10489</v>
      </c>
      <c r="G21">
        <v>0</v>
      </c>
      <c r="H21">
        <v>0</v>
      </c>
      <c r="I21">
        <v>0</v>
      </c>
      <c r="J21" s="27">
        <v>0.11592675502768825</v>
      </c>
      <c r="K21" s="27">
        <v>0</v>
      </c>
      <c r="L21" s="27">
        <v>4.9969337165571864E-2</v>
      </c>
      <c r="N21" s="73"/>
      <c r="R21" s="49">
        <v>37933.800000000003</v>
      </c>
      <c r="S21">
        <v>73874</v>
      </c>
      <c r="T21">
        <v>20091</v>
      </c>
      <c r="U21">
        <v>705</v>
      </c>
      <c r="V21">
        <v>0</v>
      </c>
      <c r="W21">
        <v>1739</v>
      </c>
      <c r="X21" s="27">
        <v>0.27818561691536603</v>
      </c>
      <c r="Z21" s="73"/>
      <c r="AD21" s="49">
        <v>19962.400000000001</v>
      </c>
      <c r="AE21">
        <v>37680</v>
      </c>
      <c r="AF21">
        <v>12226</v>
      </c>
      <c r="AG21">
        <v>12899</v>
      </c>
      <c r="AH21">
        <v>0</v>
      </c>
      <c r="AI21">
        <v>0</v>
      </c>
      <c r="AJ21" s="27">
        <v>0.18533451954390739</v>
      </c>
      <c r="AL21" s="73"/>
      <c r="AP21" s="49">
        <v>26221.599999999999</v>
      </c>
      <c r="AQ21" s="39">
        <v>43102</v>
      </c>
      <c r="AR21" s="39">
        <v>22452</v>
      </c>
      <c r="AS21" s="39">
        <v>20112</v>
      </c>
      <c r="AT21">
        <v>0</v>
      </c>
      <c r="AU21">
        <v>0</v>
      </c>
      <c r="AV21" s="27">
        <v>9.2722151868075697E-2</v>
      </c>
      <c r="AX21" s="73"/>
      <c r="BB21" s="49">
        <v>26586</v>
      </c>
      <c r="BC21" s="39">
        <v>51740</v>
      </c>
      <c r="BD21" s="39">
        <v>14725</v>
      </c>
      <c r="BE21">
        <v>0</v>
      </c>
      <c r="BF21">
        <v>0</v>
      </c>
      <c r="BG21">
        <v>0</v>
      </c>
      <c r="BH21" s="27">
        <v>5.8456046407853589E-2</v>
      </c>
      <c r="BJ21" s="73"/>
      <c r="BN21" s="49">
        <v>38188.400000000001</v>
      </c>
      <c r="BO21" s="39">
        <v>80640</v>
      </c>
      <c r="BP21" s="39">
        <v>14831</v>
      </c>
      <c r="BQ21" s="39">
        <v>12049</v>
      </c>
      <c r="BR21">
        <v>0</v>
      </c>
      <c r="BS21">
        <v>0</v>
      </c>
      <c r="BT21" s="27">
        <v>6.5443706469974924E-2</v>
      </c>
      <c r="BV21" s="73"/>
      <c r="BZ21" s="49">
        <v>20584.400000000001</v>
      </c>
      <c r="CA21">
        <v>36723</v>
      </c>
      <c r="CB21">
        <v>14738</v>
      </c>
      <c r="CC21">
        <v>11299</v>
      </c>
      <c r="CD21">
        <v>0</v>
      </c>
      <c r="CE21">
        <v>0</v>
      </c>
      <c r="CF21" s="27">
        <v>3.5994942162693701E-2</v>
      </c>
      <c r="CH21" s="73"/>
      <c r="CL21" s="49">
        <v>15551.2</v>
      </c>
      <c r="CM21">
        <v>22757</v>
      </c>
      <c r="CN21">
        <v>16121</v>
      </c>
      <c r="CO21">
        <v>8337</v>
      </c>
      <c r="CP21">
        <v>0</v>
      </c>
      <c r="CQ21">
        <v>0</v>
      </c>
      <c r="CR21" s="27">
        <v>0.1613077196880629</v>
      </c>
      <c r="CT21" s="73"/>
      <c r="CW21" s="27">
        <v>0.11592675502768825</v>
      </c>
      <c r="CX21" s="27">
        <v>0</v>
      </c>
    </row>
    <row r="22" spans="1:207" ht="15.6" hidden="1" x14ac:dyDescent="0.3">
      <c r="A22" s="14" t="s">
        <v>32</v>
      </c>
      <c r="B22" s="23"/>
      <c r="C22" s="23"/>
      <c r="D22" s="24">
        <v>12442</v>
      </c>
      <c r="E22" s="5">
        <v>20555</v>
      </c>
      <c r="F22">
        <v>10550</v>
      </c>
      <c r="G22">
        <v>0</v>
      </c>
      <c r="H22">
        <v>0</v>
      </c>
      <c r="I22">
        <v>0</v>
      </c>
      <c r="J22" s="27">
        <v>0.11736356887416449</v>
      </c>
      <c r="K22" s="27">
        <v>0</v>
      </c>
      <c r="L22" s="27">
        <v>8.070605794167407E-2</v>
      </c>
      <c r="N22" s="73"/>
      <c r="R22" s="49">
        <v>37731.800000000003</v>
      </c>
      <c r="S22">
        <v>73854</v>
      </c>
      <c r="T22">
        <v>19998</v>
      </c>
      <c r="U22">
        <v>612</v>
      </c>
      <c r="V22">
        <v>0</v>
      </c>
      <c r="W22">
        <v>955</v>
      </c>
      <c r="X22" s="27">
        <v>0.28202932636137718</v>
      </c>
      <c r="Z22" s="73"/>
      <c r="AD22" s="49">
        <v>19962.400000000001</v>
      </c>
      <c r="AE22">
        <v>37680</v>
      </c>
      <c r="AF22">
        <v>12226</v>
      </c>
      <c r="AG22">
        <v>12781</v>
      </c>
      <c r="AH22">
        <v>0</v>
      </c>
      <c r="AI22">
        <v>0</v>
      </c>
      <c r="AJ22" s="27">
        <v>0.18533451954390739</v>
      </c>
      <c r="AL22" s="73"/>
      <c r="AP22" s="49">
        <v>26631.199999999997</v>
      </c>
      <c r="AQ22" s="39">
        <v>43962</v>
      </c>
      <c r="AR22" s="39">
        <v>22616</v>
      </c>
      <c r="AS22" s="39">
        <v>16023</v>
      </c>
      <c r="AT22">
        <v>0</v>
      </c>
      <c r="AU22">
        <v>0</v>
      </c>
      <c r="AV22" s="27">
        <v>7.8549828036012237E-2</v>
      </c>
      <c r="AX22" s="73"/>
      <c r="BB22" s="49">
        <v>26542</v>
      </c>
      <c r="BC22" s="39">
        <v>51618</v>
      </c>
      <c r="BD22" s="39">
        <v>14737</v>
      </c>
      <c r="BE22">
        <v>0</v>
      </c>
      <c r="BF22">
        <v>0</v>
      </c>
      <c r="BG22">
        <v>0</v>
      </c>
      <c r="BH22" s="27">
        <v>6.001430767160347E-2</v>
      </c>
      <c r="BJ22" s="73"/>
      <c r="BN22" s="49">
        <v>38202</v>
      </c>
      <c r="BO22" s="39">
        <v>80673</v>
      </c>
      <c r="BP22" s="39">
        <v>14832</v>
      </c>
      <c r="BQ22" s="39">
        <v>12095</v>
      </c>
      <c r="BR22">
        <v>0</v>
      </c>
      <c r="BS22">
        <v>0</v>
      </c>
      <c r="BT22" s="27">
        <v>6.5110883791046056E-2</v>
      </c>
      <c r="BV22" s="73"/>
      <c r="BZ22" s="49">
        <v>20584.400000000001</v>
      </c>
      <c r="CA22">
        <v>36723</v>
      </c>
      <c r="CB22">
        <v>14738</v>
      </c>
      <c r="CC22">
        <v>11299</v>
      </c>
      <c r="CD22">
        <v>0</v>
      </c>
      <c r="CE22">
        <v>0</v>
      </c>
      <c r="CF22" s="27">
        <v>3.5994942162693701E-2</v>
      </c>
      <c r="CH22" s="73"/>
      <c r="CL22" s="49">
        <v>15739.2</v>
      </c>
      <c r="CM22">
        <v>23203</v>
      </c>
      <c r="CN22">
        <v>16145</v>
      </c>
      <c r="CO22">
        <v>9339</v>
      </c>
      <c r="CP22">
        <v>0</v>
      </c>
      <c r="CQ22">
        <v>0</v>
      </c>
      <c r="CR22" s="27">
        <v>0.15116868548500179</v>
      </c>
      <c r="CT22" s="73"/>
      <c r="CW22" s="27">
        <v>0.11736356887416449</v>
      </c>
      <c r="CX22" s="27">
        <v>0</v>
      </c>
    </row>
    <row r="23" spans="1:207" ht="15.6" hidden="1" x14ac:dyDescent="0.3">
      <c r="A23" s="14" t="s">
        <v>32</v>
      </c>
      <c r="B23" s="23"/>
      <c r="C23" s="23"/>
      <c r="D23" s="24">
        <v>12426.400000000001</v>
      </c>
      <c r="E23" s="5">
        <v>20547</v>
      </c>
      <c r="F23">
        <v>10519</v>
      </c>
      <c r="G23">
        <v>0</v>
      </c>
      <c r="H23">
        <v>0</v>
      </c>
      <c r="I23">
        <v>0</v>
      </c>
      <c r="J23" s="27">
        <v>0.1151712635614159</v>
      </c>
      <c r="K23" s="27">
        <v>0</v>
      </c>
      <c r="L23" s="27">
        <v>8.1858684970777792E-2</v>
      </c>
      <c r="N23" s="73"/>
      <c r="R23" s="49">
        <v>38418.600000000006</v>
      </c>
      <c r="S23">
        <v>75565</v>
      </c>
      <c r="T23">
        <v>20287</v>
      </c>
      <c r="U23">
        <v>1240</v>
      </c>
      <c r="V23">
        <v>0</v>
      </c>
      <c r="W23">
        <v>389</v>
      </c>
      <c r="X23" s="27">
        <v>0.26896071424493934</v>
      </c>
      <c r="Z23" s="73"/>
      <c r="AD23" s="49">
        <v>19962.400000000001</v>
      </c>
      <c r="AE23">
        <v>37680</v>
      </c>
      <c r="AF23">
        <v>12226</v>
      </c>
      <c r="AG23">
        <v>12671</v>
      </c>
      <c r="AH23">
        <v>0</v>
      </c>
      <c r="AI23">
        <v>0</v>
      </c>
      <c r="AJ23" s="27">
        <v>0.18533451954390739</v>
      </c>
      <c r="AL23" s="73"/>
      <c r="AP23" s="49">
        <v>26589.599999999999</v>
      </c>
      <c r="AQ23" s="39">
        <v>43967</v>
      </c>
      <c r="AR23" s="39">
        <v>22507</v>
      </c>
      <c r="AS23" s="39">
        <v>13232</v>
      </c>
      <c r="AT23">
        <v>0</v>
      </c>
      <c r="AU23">
        <v>0</v>
      </c>
      <c r="AV23" s="27">
        <v>7.9989204675206135E-2</v>
      </c>
      <c r="AX23" s="73"/>
      <c r="BB23" s="49">
        <v>26586</v>
      </c>
      <c r="BC23" s="39">
        <v>51740</v>
      </c>
      <c r="BD23" s="39">
        <v>14725</v>
      </c>
      <c r="BE23">
        <v>0</v>
      </c>
      <c r="BF23">
        <v>0</v>
      </c>
      <c r="BG23">
        <v>0</v>
      </c>
      <c r="BH23" s="27">
        <v>5.8456046407853589E-2</v>
      </c>
      <c r="BJ23" s="73"/>
      <c r="BN23" s="49">
        <v>38374</v>
      </c>
      <c r="BO23" s="39">
        <v>81110</v>
      </c>
      <c r="BP23" s="39">
        <v>14825</v>
      </c>
      <c r="BQ23" s="40">
        <v>12055</v>
      </c>
      <c r="BR23">
        <v>0</v>
      </c>
      <c r="BS23">
        <v>0</v>
      </c>
      <c r="BT23" s="27">
        <v>6.0901655792827636E-2</v>
      </c>
      <c r="BV23" s="73"/>
      <c r="BZ23" s="49">
        <v>20584.400000000001</v>
      </c>
      <c r="CA23">
        <v>36723</v>
      </c>
      <c r="CB23">
        <v>14738</v>
      </c>
      <c r="CC23">
        <v>11318</v>
      </c>
      <c r="CD23">
        <v>0</v>
      </c>
      <c r="CE23">
        <v>0</v>
      </c>
      <c r="CF23" s="27">
        <v>3.5994942162693701E-2</v>
      </c>
      <c r="CH23" s="73"/>
      <c r="CL23" s="49">
        <v>15763.2</v>
      </c>
      <c r="CM23">
        <v>23261</v>
      </c>
      <c r="CN23">
        <v>16147</v>
      </c>
      <c r="CO23">
        <v>9764</v>
      </c>
      <c r="CP23">
        <v>0</v>
      </c>
      <c r="CQ23">
        <v>0</v>
      </c>
      <c r="CR23" s="27">
        <v>0.14987434069312164</v>
      </c>
      <c r="CT23" s="73"/>
      <c r="CW23" s="27">
        <v>0.1151712635614159</v>
      </c>
      <c r="CX23" s="27">
        <v>0</v>
      </c>
    </row>
    <row r="24" spans="1:207" ht="15.6" hidden="1" x14ac:dyDescent="0.3">
      <c r="A24" s="14" t="s">
        <v>32</v>
      </c>
      <c r="B24" s="23"/>
      <c r="C24" s="23"/>
      <c r="D24" s="24">
        <v>12858</v>
      </c>
      <c r="E24" s="5">
        <v>21656</v>
      </c>
      <c r="F24">
        <v>10489</v>
      </c>
      <c r="G24">
        <v>0</v>
      </c>
      <c r="H24">
        <v>0</v>
      </c>
      <c r="I24">
        <v>0</v>
      </c>
      <c r="J24" s="27">
        <v>0.11256962192080497</v>
      </c>
      <c r="K24" s="27">
        <v>0</v>
      </c>
      <c r="L24" s="27">
        <v>4.9969337165571864E-2</v>
      </c>
      <c r="N24" s="73"/>
      <c r="R24" s="49">
        <v>38842.200000000004</v>
      </c>
      <c r="S24">
        <v>76550</v>
      </c>
      <c r="T24">
        <v>20417</v>
      </c>
      <c r="U24">
        <v>500</v>
      </c>
      <c r="V24">
        <v>0</v>
      </c>
      <c r="W24">
        <v>277</v>
      </c>
      <c r="X24" s="27">
        <v>0.26090034136706658</v>
      </c>
      <c r="Z24" s="73"/>
      <c r="AD24" s="49">
        <v>20025.2</v>
      </c>
      <c r="AE24">
        <v>37807</v>
      </c>
      <c r="AF24">
        <v>12256</v>
      </c>
      <c r="AG24">
        <v>12843</v>
      </c>
      <c r="AH24">
        <v>0</v>
      </c>
      <c r="AI24">
        <v>0</v>
      </c>
      <c r="AJ24" s="27">
        <v>0.1827716517438111</v>
      </c>
      <c r="AL24" s="73"/>
      <c r="AP24" s="49">
        <v>26370.400000000001</v>
      </c>
      <c r="AQ24" s="39">
        <v>43402</v>
      </c>
      <c r="AR24" s="39">
        <v>22524</v>
      </c>
      <c r="AS24" s="39">
        <v>20210</v>
      </c>
      <c r="AT24">
        <v>0</v>
      </c>
      <c r="AU24">
        <v>0</v>
      </c>
      <c r="AV24" s="27">
        <v>8.7573612350958771E-2</v>
      </c>
      <c r="AX24" s="73"/>
      <c r="BB24" s="49">
        <v>26586</v>
      </c>
      <c r="BC24" s="39">
        <v>51740</v>
      </c>
      <c r="BD24" s="39">
        <v>14725</v>
      </c>
      <c r="BE24">
        <v>0</v>
      </c>
      <c r="BF24">
        <v>0</v>
      </c>
      <c r="BG24">
        <v>0</v>
      </c>
      <c r="BH24" s="27">
        <v>5.8456046407853589E-2</v>
      </c>
      <c r="BJ24" s="73"/>
      <c r="BN24" s="49">
        <v>38346.400000000001</v>
      </c>
      <c r="BO24" s="39">
        <v>81044</v>
      </c>
      <c r="BP24" s="39">
        <v>14822</v>
      </c>
      <c r="BQ24" s="39">
        <v>331</v>
      </c>
      <c r="BR24">
        <v>0</v>
      </c>
      <c r="BS24">
        <v>0</v>
      </c>
      <c r="BT24" s="27">
        <v>6.1577090053006836E-2</v>
      </c>
      <c r="BV24" s="73"/>
      <c r="BZ24" s="49">
        <v>20584.400000000001</v>
      </c>
      <c r="CA24">
        <v>36723</v>
      </c>
      <c r="CB24">
        <v>14738</v>
      </c>
      <c r="CC24">
        <v>11299</v>
      </c>
      <c r="CD24">
        <v>0</v>
      </c>
      <c r="CE24">
        <v>0</v>
      </c>
      <c r="CF24" s="27">
        <v>3.5994942162693701E-2</v>
      </c>
      <c r="CH24" s="73"/>
      <c r="CL24" s="49">
        <v>15514</v>
      </c>
      <c r="CM24">
        <v>22669</v>
      </c>
      <c r="CN24">
        <v>16116</v>
      </c>
      <c r="CO24">
        <v>9368</v>
      </c>
      <c r="CP24">
        <v>0</v>
      </c>
      <c r="CQ24">
        <v>0</v>
      </c>
      <c r="CR24" s="27">
        <v>0.16331395411547717</v>
      </c>
      <c r="CT24" s="73"/>
      <c r="CW24" s="27">
        <v>0.11256962192080497</v>
      </c>
      <c r="CX24" s="27">
        <v>0</v>
      </c>
    </row>
    <row r="25" spans="1:207" ht="15.6" hidden="1" x14ac:dyDescent="0.3">
      <c r="A25" s="14" t="s">
        <v>32</v>
      </c>
      <c r="B25" s="23"/>
      <c r="C25" s="23"/>
      <c r="D25" s="24">
        <v>12390.8</v>
      </c>
      <c r="E25" s="5">
        <v>20621</v>
      </c>
      <c r="F25">
        <v>10356</v>
      </c>
      <c r="G25">
        <v>0</v>
      </c>
      <c r="H25">
        <v>0</v>
      </c>
      <c r="I25">
        <v>0</v>
      </c>
      <c r="J25" s="27">
        <v>0.113157299128488</v>
      </c>
      <c r="K25" s="27">
        <v>0</v>
      </c>
      <c r="L25" s="27">
        <v>8.4489038960271309E-2</v>
      </c>
      <c r="N25" s="73"/>
      <c r="R25" s="49">
        <v>39136.6</v>
      </c>
      <c r="S25">
        <v>77254</v>
      </c>
      <c r="T25">
        <v>20336</v>
      </c>
      <c r="U25">
        <v>293</v>
      </c>
      <c r="V25">
        <v>0</v>
      </c>
      <c r="W25">
        <v>503</v>
      </c>
      <c r="X25" s="27">
        <v>0.25529842027347427</v>
      </c>
      <c r="Z25" s="73"/>
      <c r="AD25" s="49">
        <v>20086.400000000001</v>
      </c>
      <c r="AE25">
        <v>37990</v>
      </c>
      <c r="AF25">
        <v>12226</v>
      </c>
      <c r="AG25">
        <v>11879</v>
      </c>
      <c r="AH25">
        <v>0</v>
      </c>
      <c r="AI25">
        <v>0</v>
      </c>
      <c r="AJ25" s="27">
        <v>0.18027407993862168</v>
      </c>
      <c r="AL25" s="73"/>
      <c r="AP25" s="49">
        <v>26662.799999999999</v>
      </c>
      <c r="AQ25" s="39">
        <v>44112</v>
      </c>
      <c r="AR25" s="39">
        <v>22545</v>
      </c>
      <c r="AS25" s="39">
        <v>22218</v>
      </c>
      <c r="AT25">
        <v>0</v>
      </c>
      <c r="AU25">
        <v>0</v>
      </c>
      <c r="AV25" s="27">
        <v>7.7456455396624463E-2</v>
      </c>
      <c r="AX25" s="73"/>
      <c r="BB25" s="49">
        <v>26586</v>
      </c>
      <c r="BC25" s="39">
        <v>51740</v>
      </c>
      <c r="BD25" s="39">
        <v>14725</v>
      </c>
      <c r="BE25">
        <v>0</v>
      </c>
      <c r="BF25">
        <v>0</v>
      </c>
      <c r="BG25">
        <v>0</v>
      </c>
      <c r="BH25" s="27">
        <v>5.8456046407853589E-2</v>
      </c>
      <c r="BJ25" s="73"/>
      <c r="BN25" s="49">
        <v>38218.800000000003</v>
      </c>
      <c r="BO25" s="39">
        <v>80706</v>
      </c>
      <c r="BP25" s="39">
        <v>14841</v>
      </c>
      <c r="BQ25" s="39">
        <v>12355</v>
      </c>
      <c r="BR25">
        <v>0</v>
      </c>
      <c r="BS25">
        <v>0</v>
      </c>
      <c r="BT25" s="27">
        <v>6.4699749893545586E-2</v>
      </c>
      <c r="BV25" s="73"/>
      <c r="BZ25" s="49">
        <v>20588.800000000003</v>
      </c>
      <c r="CA25">
        <v>36733</v>
      </c>
      <c r="CB25">
        <v>14739</v>
      </c>
      <c r="CC25">
        <v>11293</v>
      </c>
      <c r="CD25">
        <v>0</v>
      </c>
      <c r="CE25">
        <v>0</v>
      </c>
      <c r="CF25" s="27">
        <v>3.5788882124291529E-2</v>
      </c>
      <c r="CH25" s="73"/>
      <c r="CL25" s="49">
        <v>15783.2</v>
      </c>
      <c r="CM25">
        <v>23310</v>
      </c>
      <c r="CN25">
        <v>16148</v>
      </c>
      <c r="CO25">
        <v>9763</v>
      </c>
      <c r="CP25">
        <v>0</v>
      </c>
      <c r="CQ25">
        <v>0</v>
      </c>
      <c r="CR25" s="27">
        <v>0.1487957200332215</v>
      </c>
      <c r="CT25" s="73"/>
      <c r="CW25" s="27">
        <v>0.113157299128488</v>
      </c>
      <c r="CX25" s="27">
        <v>0</v>
      </c>
    </row>
    <row r="26" spans="1:207" s="4" customFormat="1" x14ac:dyDescent="0.3">
      <c r="A26" s="15" t="s">
        <v>32</v>
      </c>
      <c r="B26" s="41" t="s">
        <v>44</v>
      </c>
      <c r="C26" s="41">
        <v>22829</v>
      </c>
      <c r="D26" s="25">
        <v>12595.039999999999</v>
      </c>
      <c r="E26" s="7">
        <v>21007</v>
      </c>
      <c r="F26" s="4">
        <v>10480.6</v>
      </c>
      <c r="G26" s="4">
        <v>0</v>
      </c>
      <c r="H26" s="4">
        <v>0</v>
      </c>
      <c r="I26" s="4">
        <v>0</v>
      </c>
      <c r="J26" s="27">
        <v>0.11340415273125433</v>
      </c>
      <c r="K26" s="84">
        <v>6.5535840882549722E-3</v>
      </c>
      <c r="L26" s="27">
        <v>6.9398491240773463E-2</v>
      </c>
      <c r="M26" s="27">
        <v>1.7789225524983108E-2</v>
      </c>
      <c r="N26" s="73">
        <v>7.9810767006877212E-2</v>
      </c>
      <c r="O26" s="27" t="e">
        <v>#DIV/0!</v>
      </c>
      <c r="P26">
        <v>52553.4</v>
      </c>
      <c r="Q26" s="26">
        <v>81057</v>
      </c>
      <c r="R26" s="49">
        <v>38412.600000000006</v>
      </c>
      <c r="S26">
        <v>75419.399999999994</v>
      </c>
      <c r="T26">
        <v>20225.8</v>
      </c>
      <c r="U26">
        <v>670</v>
      </c>
      <c r="V26">
        <v>0</v>
      </c>
      <c r="W26">
        <v>772.6</v>
      </c>
      <c r="X26" s="27">
        <v>0.2690748838324446</v>
      </c>
      <c r="Y26" s="27">
        <v>1.1263327283137444E-2</v>
      </c>
      <c r="Z26" s="73">
        <v>6.9551056663829228E-2</v>
      </c>
      <c r="AA26" s="27" t="e">
        <v>#DIV/0!</v>
      </c>
      <c r="AB26">
        <v>24503.8</v>
      </c>
      <c r="AC26">
        <v>48120</v>
      </c>
      <c r="AD26" s="49">
        <v>19999.760000000002</v>
      </c>
      <c r="AE26">
        <v>37767.4</v>
      </c>
      <c r="AF26">
        <v>12232</v>
      </c>
      <c r="AG26">
        <v>12614.6</v>
      </c>
      <c r="AH26">
        <v>0</v>
      </c>
      <c r="AI26">
        <v>0</v>
      </c>
      <c r="AJ26" s="27">
        <v>0.18380985806283096</v>
      </c>
      <c r="AK26" s="27">
        <v>2.2667916313660256E-3</v>
      </c>
      <c r="AL26" s="73">
        <v>0.2151413133832086</v>
      </c>
      <c r="AM26" s="27" t="e">
        <v>#DIV/0!</v>
      </c>
      <c r="AN26">
        <v>28901.4</v>
      </c>
      <c r="AO26">
        <v>48676</v>
      </c>
      <c r="AP26" s="49">
        <v>26495.119999999995</v>
      </c>
      <c r="AQ26">
        <v>43709</v>
      </c>
      <c r="AR26">
        <v>22528.799999999999</v>
      </c>
      <c r="AS26">
        <v>18359</v>
      </c>
      <c r="AT26">
        <v>0</v>
      </c>
      <c r="AU26">
        <v>0</v>
      </c>
      <c r="AV26" s="27">
        <v>7.2453639175899795E-2</v>
      </c>
      <c r="AW26" s="27">
        <v>8.1077577884627293E-3</v>
      </c>
      <c r="AX26" s="73">
        <v>0.10204207412277097</v>
      </c>
      <c r="AY26" s="27" t="e">
        <v>#DIV/0!</v>
      </c>
      <c r="AZ26">
        <v>28236.6</v>
      </c>
      <c r="BA26">
        <v>55474</v>
      </c>
      <c r="BB26" s="49">
        <v>0</v>
      </c>
      <c r="BC26" t="e">
        <v>#DIV/0!</v>
      </c>
      <c r="BD26"/>
      <c r="BE26"/>
      <c r="BF26"/>
      <c r="BG26"/>
      <c r="BH26" s="27">
        <v>5.8103918180015403E-2</v>
      </c>
      <c r="BI26" s="27">
        <v>3.9123522104586202E-3</v>
      </c>
      <c r="BJ26" s="27"/>
      <c r="BK26" s="27" t="e">
        <v>#DIV/0!</v>
      </c>
      <c r="BL26" s="27"/>
      <c r="BM26">
        <v>86423</v>
      </c>
      <c r="BN26" s="49">
        <v>38265.919999999998</v>
      </c>
      <c r="BO26">
        <v>80834.600000000006</v>
      </c>
      <c r="BP26">
        <v>14830.2</v>
      </c>
      <c r="BQ26">
        <v>9777</v>
      </c>
      <c r="BR26">
        <v>0</v>
      </c>
      <c r="BS26">
        <v>0</v>
      </c>
      <c r="BT26" s="27">
        <v>6.3546617200080271E-2</v>
      </c>
      <c r="BU26" s="27">
        <v>2.1360273115771946E-3</v>
      </c>
      <c r="BV26" s="73">
        <v>6.4663341934438678E-2</v>
      </c>
      <c r="BW26" s="27" t="e">
        <v>#DIV/0!</v>
      </c>
      <c r="BX26">
        <v>21353</v>
      </c>
      <c r="BY26">
        <v>38534</v>
      </c>
      <c r="BZ26" s="49">
        <v>20585.280000000002</v>
      </c>
      <c r="CA26">
        <v>36725</v>
      </c>
      <c r="CB26">
        <v>14738.2</v>
      </c>
      <c r="CC26">
        <v>11301.6</v>
      </c>
      <c r="CD26">
        <v>0</v>
      </c>
      <c r="CE26">
        <v>0</v>
      </c>
      <c r="CF26" s="27">
        <v>3.5953730155013235E-2</v>
      </c>
      <c r="CG26" s="84">
        <v>9.2152850662694441E-5</v>
      </c>
      <c r="CH26" s="73">
        <v>4.6945554575180362E-2</v>
      </c>
      <c r="CI26" s="27" t="e">
        <v>#DIV/0!</v>
      </c>
      <c r="CJ26">
        <v>18542.2</v>
      </c>
      <c r="CK26">
        <v>28067</v>
      </c>
      <c r="CL26" s="49">
        <v>15670.16</v>
      </c>
      <c r="CM26">
        <v>23040</v>
      </c>
      <c r="CN26">
        <v>16135.4</v>
      </c>
      <c r="CO26">
        <v>9314.2000000000007</v>
      </c>
      <c r="CP26">
        <v>0</v>
      </c>
      <c r="CQ26">
        <v>0</v>
      </c>
      <c r="CR26" s="83">
        <v>0.15489208400297702</v>
      </c>
      <c r="CS26" s="83">
        <v>6.8610381053919693E-3</v>
      </c>
      <c r="CT26" s="73">
        <v>0.17910713649481597</v>
      </c>
      <c r="CU26" s="27" t="e">
        <v>#DIV/0!</v>
      </c>
      <c r="CV26"/>
      <c r="CW26" s="27">
        <v>0.11340415273125433</v>
      </c>
      <c r="CX26" s="27">
        <v>6.5535840882549722E-3</v>
      </c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GV26" s="4" t="e">
        <f t="shared" ref="GV26:GY26" si="18">AVERAGE(GV21:GV25)</f>
        <v>#DIV/0!</v>
      </c>
      <c r="GW26" s="4" t="e">
        <f t="shared" si="18"/>
        <v>#DIV/0!</v>
      </c>
      <c r="GX26" s="4" t="e">
        <f t="shared" si="18"/>
        <v>#DIV/0!</v>
      </c>
      <c r="GY26" s="4" t="e">
        <f t="shared" si="18"/>
        <v>#DIV/0!</v>
      </c>
    </row>
    <row r="27" spans="1:207" ht="15.6" hidden="1" x14ac:dyDescent="0.3">
      <c r="A27" s="14" t="s">
        <v>33</v>
      </c>
      <c r="B27" s="23"/>
      <c r="C27" s="23"/>
      <c r="D27" s="24">
        <v>12374.400000000001</v>
      </c>
      <c r="E27" s="5">
        <v>20587</v>
      </c>
      <c r="F27">
        <v>10349</v>
      </c>
      <c r="G27">
        <v>0</v>
      </c>
      <c r="H27">
        <v>0</v>
      </c>
      <c r="I27">
        <v>0</v>
      </c>
      <c r="J27" s="27">
        <v>0.11791432958795336</v>
      </c>
      <c r="K27" s="27">
        <v>0</v>
      </c>
      <c r="L27" s="27">
        <v>8.5707530440950336E-2</v>
      </c>
      <c r="N27" s="73"/>
      <c r="R27" s="49">
        <v>38269.400000000009</v>
      </c>
      <c r="S27">
        <v>74964</v>
      </c>
      <c r="T27">
        <v>20220</v>
      </c>
      <c r="U27">
        <v>1069</v>
      </c>
      <c r="V27">
        <v>0</v>
      </c>
      <c r="W27">
        <v>979</v>
      </c>
      <c r="X27" s="27">
        <v>0.27181358744462863</v>
      </c>
      <c r="Z27" s="73"/>
      <c r="AD27" s="49">
        <v>20052</v>
      </c>
      <c r="AE27">
        <v>37890</v>
      </c>
      <c r="AF27">
        <v>12240</v>
      </c>
      <c r="AG27">
        <v>12885</v>
      </c>
      <c r="AH27">
        <v>0</v>
      </c>
      <c r="AI27">
        <v>0</v>
      </c>
      <c r="AJ27" s="27">
        <v>0.18171133818680418</v>
      </c>
      <c r="AL27" s="73"/>
      <c r="AP27" s="49">
        <v>26221.599999999999</v>
      </c>
      <c r="AQ27" s="39">
        <v>43102</v>
      </c>
      <c r="AR27" s="39">
        <v>22452</v>
      </c>
      <c r="AS27" s="39">
        <v>20154</v>
      </c>
      <c r="AT27">
        <v>0</v>
      </c>
      <c r="AU27">
        <v>0</v>
      </c>
      <c r="AV27" s="27">
        <v>9.2753542958370336E-2</v>
      </c>
      <c r="AX27" s="73"/>
      <c r="BB27" s="49">
        <v>26586</v>
      </c>
      <c r="BC27" s="39">
        <v>51740</v>
      </c>
      <c r="BD27" s="39">
        <v>14725</v>
      </c>
      <c r="BE27">
        <v>0</v>
      </c>
      <c r="BF27">
        <v>0</v>
      </c>
      <c r="BG27">
        <v>0</v>
      </c>
      <c r="BH27" s="27">
        <v>5.8489390033147244E-2</v>
      </c>
      <c r="BJ27" s="73"/>
      <c r="BN27" s="49">
        <v>38189.200000000004</v>
      </c>
      <c r="BO27" s="39">
        <v>80641</v>
      </c>
      <c r="BP27" s="39">
        <v>14832</v>
      </c>
      <c r="BQ27" s="39">
        <v>12104</v>
      </c>
      <c r="BR27">
        <v>0</v>
      </c>
      <c r="BS27">
        <v>0</v>
      </c>
      <c r="BT27" s="27">
        <v>6.5446999285427479E-2</v>
      </c>
      <c r="BV27" s="73"/>
      <c r="BZ27" s="49">
        <v>20494.400000000001</v>
      </c>
      <c r="CA27">
        <v>36508</v>
      </c>
      <c r="CB27">
        <v>14728</v>
      </c>
      <c r="CC27">
        <v>11304</v>
      </c>
      <c r="CD27">
        <v>0</v>
      </c>
      <c r="CE27">
        <v>0</v>
      </c>
      <c r="CF27" s="27">
        <v>4.0254753207829848E-2</v>
      </c>
      <c r="CH27" s="73"/>
      <c r="CL27" s="49">
        <v>15814.800000000001</v>
      </c>
      <c r="CM27">
        <v>23383</v>
      </c>
      <c r="CN27">
        <v>16154</v>
      </c>
      <c r="CO27">
        <v>10160</v>
      </c>
      <c r="CP27">
        <v>0</v>
      </c>
      <c r="CQ27">
        <v>0</v>
      </c>
      <c r="CR27" s="27">
        <v>0.14713749514646876</v>
      </c>
      <c r="CT27" s="73"/>
      <c r="CW27" s="27">
        <v>0.11791432958795336</v>
      </c>
      <c r="CX27" s="27">
        <v>0</v>
      </c>
    </row>
    <row r="28" spans="1:207" ht="15.6" hidden="1" x14ac:dyDescent="0.3">
      <c r="A28" s="14" t="s">
        <v>33</v>
      </c>
      <c r="B28" s="23"/>
      <c r="C28" s="23"/>
      <c r="D28" s="24">
        <v>12858</v>
      </c>
      <c r="E28" s="5">
        <v>21656</v>
      </c>
      <c r="F28">
        <v>10489</v>
      </c>
      <c r="G28">
        <v>0</v>
      </c>
      <c r="H28">
        <v>0</v>
      </c>
      <c r="I28">
        <v>0</v>
      </c>
      <c r="J28" s="27">
        <v>0.10133762321479277</v>
      </c>
      <c r="K28" s="27">
        <v>0</v>
      </c>
      <c r="L28" s="27">
        <v>4.9976356543326605E-2</v>
      </c>
      <c r="N28" s="73"/>
      <c r="R28" s="49">
        <v>38690.800000000003</v>
      </c>
      <c r="S28">
        <v>76027</v>
      </c>
      <c r="T28">
        <v>20384</v>
      </c>
      <c r="U28">
        <v>2090</v>
      </c>
      <c r="V28">
        <v>0</v>
      </c>
      <c r="W28">
        <v>632</v>
      </c>
      <c r="X28" s="27">
        <v>0.26379522932428107</v>
      </c>
      <c r="Z28" s="73"/>
      <c r="AD28" s="49">
        <v>19962.400000000001</v>
      </c>
      <c r="AE28">
        <v>37680</v>
      </c>
      <c r="AF28">
        <v>12226</v>
      </c>
      <c r="AG28">
        <v>11875</v>
      </c>
      <c r="AH28">
        <v>0</v>
      </c>
      <c r="AI28">
        <v>0</v>
      </c>
      <c r="AJ28" s="27">
        <v>0.18536776468283755</v>
      </c>
      <c r="AL28" s="73"/>
      <c r="AP28" s="49">
        <v>26305.200000000001</v>
      </c>
      <c r="AQ28" s="39">
        <v>43285</v>
      </c>
      <c r="AR28" s="39">
        <v>22478</v>
      </c>
      <c r="AS28" s="39">
        <v>19258</v>
      </c>
      <c r="AT28">
        <v>0</v>
      </c>
      <c r="AU28">
        <v>0</v>
      </c>
      <c r="AV28" s="27">
        <v>8.9861049601417206E-2</v>
      </c>
      <c r="AX28" s="73"/>
      <c r="BB28" s="49">
        <v>26816.000000000004</v>
      </c>
      <c r="BC28" s="39">
        <v>52372</v>
      </c>
      <c r="BD28" s="39">
        <v>14668</v>
      </c>
      <c r="BE28">
        <v>0</v>
      </c>
      <c r="BF28">
        <v>0</v>
      </c>
      <c r="BG28">
        <v>0</v>
      </c>
      <c r="BH28" s="27">
        <v>5.0344221888545593E-2</v>
      </c>
      <c r="BJ28" s="73"/>
      <c r="BN28" s="49">
        <v>38189.200000000004</v>
      </c>
      <c r="BO28" s="39">
        <v>80641</v>
      </c>
      <c r="BP28" s="39">
        <v>14832</v>
      </c>
      <c r="BQ28" s="39">
        <v>12126</v>
      </c>
      <c r="BR28">
        <v>0</v>
      </c>
      <c r="BS28">
        <v>0</v>
      </c>
      <c r="BT28" s="27">
        <v>6.5446999285427479E-2</v>
      </c>
      <c r="BV28" s="73"/>
      <c r="BZ28" s="49">
        <v>20584.400000000001</v>
      </c>
      <c r="CA28">
        <v>36723</v>
      </c>
      <c r="CB28">
        <v>14738</v>
      </c>
      <c r="CC28">
        <v>11299</v>
      </c>
      <c r="CD28">
        <v>0</v>
      </c>
      <c r="CE28">
        <v>0</v>
      </c>
      <c r="CF28" s="27">
        <v>3.6040086166526111E-2</v>
      </c>
      <c r="CH28" s="73"/>
      <c r="CL28" s="49">
        <v>17247.599999999999</v>
      </c>
      <c r="CM28">
        <v>26784</v>
      </c>
      <c r="CN28">
        <v>16335</v>
      </c>
      <c r="CO28">
        <v>8728</v>
      </c>
      <c r="CP28">
        <v>0</v>
      </c>
      <c r="CQ28">
        <v>0</v>
      </c>
      <c r="CR28" s="27">
        <v>6.9869278225980533E-2</v>
      </c>
      <c r="CT28" s="73"/>
      <c r="CW28" s="27">
        <v>0.10133762321479277</v>
      </c>
      <c r="CX28" s="27">
        <v>0</v>
      </c>
    </row>
    <row r="29" spans="1:207" ht="15.6" hidden="1" x14ac:dyDescent="0.3">
      <c r="A29" s="14" t="s">
        <v>33</v>
      </c>
      <c r="B29" s="23"/>
      <c r="C29" s="23"/>
      <c r="D29" s="24">
        <v>12426.400000000001</v>
      </c>
      <c r="E29" s="5">
        <v>20547</v>
      </c>
      <c r="F29">
        <v>10519</v>
      </c>
      <c r="G29">
        <v>0</v>
      </c>
      <c r="H29">
        <v>0</v>
      </c>
      <c r="I29">
        <v>0</v>
      </c>
      <c r="J29" s="27">
        <v>0.1119259453776032</v>
      </c>
      <c r="K29" s="27">
        <v>0</v>
      </c>
      <c r="L29" s="27">
        <v>8.1865468731528418E-2</v>
      </c>
      <c r="N29" s="73"/>
      <c r="R29" s="49">
        <v>38883.200000000004</v>
      </c>
      <c r="S29">
        <v>76593</v>
      </c>
      <c r="T29">
        <v>20499</v>
      </c>
      <c r="U29">
        <v>2492</v>
      </c>
      <c r="V29">
        <v>0</v>
      </c>
      <c r="W29">
        <v>232</v>
      </c>
      <c r="X29" s="27">
        <v>0.26013426088015462</v>
      </c>
      <c r="Z29" s="73"/>
      <c r="AD29" s="49">
        <v>20103.599999999999</v>
      </c>
      <c r="AE29">
        <v>37994</v>
      </c>
      <c r="AF29">
        <v>12265</v>
      </c>
      <c r="AG29">
        <v>12657</v>
      </c>
      <c r="AH29">
        <v>0</v>
      </c>
      <c r="AI29">
        <v>0</v>
      </c>
      <c r="AJ29" s="27">
        <v>0.17960562828507071</v>
      </c>
      <c r="AL29" s="73"/>
      <c r="AP29" s="49">
        <v>26637.600000000002</v>
      </c>
      <c r="AQ29" s="39">
        <v>43974</v>
      </c>
      <c r="AR29" s="39">
        <v>22620</v>
      </c>
      <c r="AS29" s="39">
        <v>16033</v>
      </c>
      <c r="AT29">
        <v>0</v>
      </c>
      <c r="AU29">
        <v>0</v>
      </c>
      <c r="AV29" s="27">
        <v>7.8360274579273664E-2</v>
      </c>
      <c r="AX29" s="73"/>
      <c r="BB29" s="49">
        <v>26586</v>
      </c>
      <c r="BC29" s="39">
        <v>51740</v>
      </c>
      <c r="BD29" s="39">
        <v>14725</v>
      </c>
      <c r="BE29">
        <v>0</v>
      </c>
      <c r="BF29">
        <v>0</v>
      </c>
      <c r="BG29">
        <v>0</v>
      </c>
      <c r="BH29" s="27">
        <v>5.8489390033147244E-2</v>
      </c>
      <c r="BJ29" s="73"/>
      <c r="BN29" s="49">
        <v>38188.400000000001</v>
      </c>
      <c r="BO29" s="39">
        <v>80640</v>
      </c>
      <c r="BP29" s="39">
        <v>14831</v>
      </c>
      <c r="BQ29" s="39">
        <v>12129</v>
      </c>
      <c r="BR29">
        <v>0</v>
      </c>
      <c r="BS29">
        <v>0</v>
      </c>
      <c r="BT29" s="27">
        <v>6.5466576610969107E-2</v>
      </c>
      <c r="BV29" s="73"/>
      <c r="BZ29" s="49">
        <v>20584.400000000001</v>
      </c>
      <c r="CA29">
        <v>36723</v>
      </c>
      <c r="CB29">
        <v>14738</v>
      </c>
      <c r="CC29">
        <v>11318</v>
      </c>
      <c r="CD29">
        <v>0</v>
      </c>
      <c r="CE29">
        <v>0</v>
      </c>
      <c r="CF29" s="27">
        <v>3.6040086166526111E-2</v>
      </c>
      <c r="CH29" s="73"/>
      <c r="CL29" s="49">
        <v>16031.600000000002</v>
      </c>
      <c r="CM29">
        <v>23898</v>
      </c>
      <c r="CN29">
        <v>16181</v>
      </c>
      <c r="CO29">
        <v>9730</v>
      </c>
      <c r="CP29">
        <v>0</v>
      </c>
      <c r="CQ29">
        <v>0</v>
      </c>
      <c r="CR29" s="27">
        <v>0.13544587773415584</v>
      </c>
      <c r="CT29" s="73"/>
      <c r="CW29" s="27">
        <v>0.1119259453776032</v>
      </c>
      <c r="CX29" s="27">
        <v>0</v>
      </c>
    </row>
    <row r="30" spans="1:207" ht="15.6" hidden="1" x14ac:dyDescent="0.3">
      <c r="A30" s="14" t="s">
        <v>33</v>
      </c>
      <c r="B30" s="23"/>
      <c r="C30" s="23"/>
      <c r="D30" s="24">
        <v>12442</v>
      </c>
      <c r="E30" s="5">
        <v>20555</v>
      </c>
      <c r="F30">
        <v>10550</v>
      </c>
      <c r="G30">
        <v>0</v>
      </c>
      <c r="H30">
        <v>0</v>
      </c>
      <c r="I30">
        <v>0</v>
      </c>
      <c r="J30" s="27">
        <v>0.1132342911394978</v>
      </c>
      <c r="K30" s="27">
        <v>0</v>
      </c>
      <c r="L30" s="27">
        <v>8.0712850218701948E-2</v>
      </c>
      <c r="N30" s="73"/>
      <c r="R30" s="49">
        <v>38773</v>
      </c>
      <c r="S30">
        <v>76423</v>
      </c>
      <c r="T30">
        <v>20372</v>
      </c>
      <c r="U30">
        <v>616</v>
      </c>
      <c r="V30">
        <v>0</v>
      </c>
      <c r="W30">
        <v>275</v>
      </c>
      <c r="X30" s="27">
        <v>0.26223113573744539</v>
      </c>
      <c r="Z30" s="73"/>
      <c r="AD30" s="49">
        <v>20161.599999999999</v>
      </c>
      <c r="AE30">
        <v>38150</v>
      </c>
      <c r="AF30">
        <v>12254</v>
      </c>
      <c r="AG30">
        <v>11141</v>
      </c>
      <c r="AH30">
        <v>0</v>
      </c>
      <c r="AI30">
        <v>0</v>
      </c>
      <c r="AJ30" s="27">
        <v>0.17723874506219192</v>
      </c>
      <c r="AL30" s="73"/>
      <c r="AP30" s="49">
        <v>26264</v>
      </c>
      <c r="AQ30" s="39">
        <v>43202</v>
      </c>
      <c r="AR30" s="40">
        <v>22458</v>
      </c>
      <c r="AS30" s="39">
        <v>20210</v>
      </c>
      <c r="AT30">
        <v>0</v>
      </c>
      <c r="AU30">
        <v>0</v>
      </c>
      <c r="AV30" s="27">
        <v>9.1286536758193135E-2</v>
      </c>
      <c r="AX30" s="73"/>
      <c r="BB30" s="49">
        <v>26692.799999999999</v>
      </c>
      <c r="BC30">
        <v>52090</v>
      </c>
      <c r="BD30" s="39">
        <v>14642</v>
      </c>
      <c r="BE30">
        <v>0</v>
      </c>
      <c r="BF30">
        <v>0</v>
      </c>
      <c r="BG30">
        <v>0</v>
      </c>
      <c r="BH30" s="27">
        <v>5.470719891208882E-2</v>
      </c>
      <c r="BJ30" s="73"/>
      <c r="BN30" s="49">
        <v>38189.200000000004</v>
      </c>
      <c r="BO30" s="39">
        <v>80641</v>
      </c>
      <c r="BP30" s="39">
        <v>14832</v>
      </c>
      <c r="BQ30" s="39">
        <v>12038</v>
      </c>
      <c r="BR30">
        <v>0</v>
      </c>
      <c r="BS30">
        <v>0</v>
      </c>
      <c r="BT30" s="27">
        <v>6.5446999285427479E-2</v>
      </c>
      <c r="BV30" s="73"/>
      <c r="BZ30" s="49">
        <v>20512</v>
      </c>
      <c r="CA30">
        <v>36551</v>
      </c>
      <c r="CB30">
        <v>14729</v>
      </c>
      <c r="CC30">
        <v>11303</v>
      </c>
      <c r="CD30">
        <v>0</v>
      </c>
      <c r="CE30">
        <v>0</v>
      </c>
      <c r="CF30" s="27">
        <v>3.9430551653086073E-2</v>
      </c>
      <c r="CH30" s="73"/>
      <c r="CL30" s="49">
        <v>16043.2</v>
      </c>
      <c r="CM30">
        <v>23925</v>
      </c>
      <c r="CN30">
        <v>16183</v>
      </c>
      <c r="CO30">
        <v>9728</v>
      </c>
      <c r="CP30">
        <v>0</v>
      </c>
      <c r="CQ30">
        <v>0</v>
      </c>
      <c r="CR30" s="27">
        <v>0.13482031148884766</v>
      </c>
      <c r="CT30" s="73"/>
      <c r="CW30" s="27">
        <v>0.1132342911394978</v>
      </c>
      <c r="CX30" s="27">
        <v>0</v>
      </c>
    </row>
    <row r="31" spans="1:207" ht="15.6" hidden="1" x14ac:dyDescent="0.3">
      <c r="A31" s="14" t="s">
        <v>33</v>
      </c>
      <c r="B31" s="23"/>
      <c r="C31" s="23"/>
      <c r="D31" s="24">
        <v>12798</v>
      </c>
      <c r="E31" s="5">
        <v>21632</v>
      </c>
      <c r="F31">
        <v>10363</v>
      </c>
      <c r="G31">
        <v>0</v>
      </c>
      <c r="H31">
        <v>0</v>
      </c>
      <c r="I31">
        <v>0</v>
      </c>
      <c r="J31" s="27">
        <v>0.10873138095158866</v>
      </c>
      <c r="K31" s="27">
        <v>0</v>
      </c>
      <c r="L31" s="27">
        <v>5.4409504669582665E-2</v>
      </c>
      <c r="N31" s="73"/>
      <c r="R31" s="49">
        <v>38224.199999999997</v>
      </c>
      <c r="S31">
        <v>74970</v>
      </c>
      <c r="T31">
        <v>20224</v>
      </c>
      <c r="U31">
        <v>346</v>
      </c>
      <c r="V31">
        <v>0</v>
      </c>
      <c r="W31">
        <v>733</v>
      </c>
      <c r="X31" s="27">
        <v>0.27267364863836335</v>
      </c>
      <c r="Z31" s="73"/>
      <c r="AD31" s="49">
        <v>19962.400000000001</v>
      </c>
      <c r="AE31">
        <v>37680</v>
      </c>
      <c r="AF31">
        <v>12226</v>
      </c>
      <c r="AG31">
        <v>12007</v>
      </c>
      <c r="AH31">
        <v>0</v>
      </c>
      <c r="AI31">
        <v>0</v>
      </c>
      <c r="AJ31" s="27">
        <v>0.18536776468283755</v>
      </c>
      <c r="AL31" s="73"/>
      <c r="AP31" s="49">
        <v>26636.800000000003</v>
      </c>
      <c r="AQ31" s="39">
        <v>43986</v>
      </c>
      <c r="AR31" s="39">
        <v>22606</v>
      </c>
      <c r="AS31" s="39">
        <v>0</v>
      </c>
      <c r="AT31">
        <v>0</v>
      </c>
      <c r="AU31">
        <v>0</v>
      </c>
      <c r="AV31" s="27">
        <v>7.8387953941541133E-2</v>
      </c>
      <c r="AX31" s="73"/>
      <c r="BB31" s="49">
        <v>26586</v>
      </c>
      <c r="BC31" s="39">
        <v>51740</v>
      </c>
      <c r="BD31" s="39">
        <v>14725</v>
      </c>
      <c r="BE31">
        <v>0</v>
      </c>
      <c r="BF31">
        <v>0</v>
      </c>
      <c r="BG31">
        <v>0</v>
      </c>
      <c r="BH31" s="27">
        <v>5.8489390033147244E-2</v>
      </c>
      <c r="BJ31" s="73"/>
      <c r="BN31" s="49">
        <v>38188.400000000001</v>
      </c>
      <c r="BO31" s="39">
        <v>80640</v>
      </c>
      <c r="BP31" s="39">
        <v>14831</v>
      </c>
      <c r="BQ31" s="39">
        <v>12105</v>
      </c>
      <c r="BR31">
        <v>0</v>
      </c>
      <c r="BS31">
        <v>0</v>
      </c>
      <c r="BT31" s="27">
        <v>6.5466576610969107E-2</v>
      </c>
      <c r="BV31" s="73"/>
      <c r="BZ31" s="49">
        <v>20643.2</v>
      </c>
      <c r="CA31">
        <v>36864</v>
      </c>
      <c r="CB31">
        <v>14744</v>
      </c>
      <c r="CC31">
        <v>9002</v>
      </c>
      <c r="CD31">
        <v>0</v>
      </c>
      <c r="CE31">
        <v>0</v>
      </c>
      <c r="CF31" s="27">
        <v>3.3286503699541038E-2</v>
      </c>
      <c r="CH31" s="73"/>
      <c r="CL31" s="49">
        <v>16285.2</v>
      </c>
      <c r="CM31">
        <v>24502</v>
      </c>
      <c r="CN31">
        <v>16211</v>
      </c>
      <c r="CO31">
        <v>9055</v>
      </c>
      <c r="CP31">
        <v>0</v>
      </c>
      <c r="CQ31">
        <v>0</v>
      </c>
      <c r="CR31" s="27">
        <v>0.12176970533672721</v>
      </c>
      <c r="CT31" s="73"/>
      <c r="CW31" s="27">
        <v>0.10873138095158866</v>
      </c>
      <c r="CX31" s="27">
        <v>0</v>
      </c>
    </row>
    <row r="32" spans="1:207" s="4" customFormat="1" x14ac:dyDescent="0.3">
      <c r="A32" s="15" t="s">
        <v>33</v>
      </c>
      <c r="B32" s="41" t="s">
        <v>45</v>
      </c>
      <c r="C32" s="41">
        <v>22829</v>
      </c>
      <c r="D32" s="25">
        <v>12579.76</v>
      </c>
      <c r="E32" s="7">
        <v>20995.4</v>
      </c>
      <c r="F32" s="4">
        <v>10454</v>
      </c>
      <c r="G32" s="4">
        <v>0</v>
      </c>
      <c r="H32" s="4">
        <v>0</v>
      </c>
      <c r="I32" s="4">
        <v>0</v>
      </c>
      <c r="J32" s="27">
        <v>0.11062871405428716</v>
      </c>
      <c r="K32" s="27">
        <v>8.7789737270349034E-3</v>
      </c>
      <c r="L32" s="27">
        <v>7.0534342120818022E-2</v>
      </c>
      <c r="M32" s="27">
        <v>1.6917913989303954E-2</v>
      </c>
      <c r="N32" s="73">
        <v>8.0318892636558697E-2</v>
      </c>
      <c r="O32" s="27" t="e">
        <v>#DIV/0!</v>
      </c>
      <c r="P32">
        <v>52554.400000000001</v>
      </c>
      <c r="Q32" s="26">
        <v>81057</v>
      </c>
      <c r="R32" s="49">
        <v>38568.12000000001</v>
      </c>
      <c r="S32">
        <v>75795.399999999994</v>
      </c>
      <c r="T32">
        <v>20339.8</v>
      </c>
      <c r="U32">
        <v>1322.6</v>
      </c>
      <c r="V32">
        <v>0</v>
      </c>
      <c r="W32">
        <v>570.20000000000005</v>
      </c>
      <c r="X32" s="27">
        <v>0.26612957240497448</v>
      </c>
      <c r="Y32" s="84">
        <v>5.738547008350069E-3</v>
      </c>
      <c r="Z32" s="73">
        <v>6.4912345633319837E-2</v>
      </c>
      <c r="AA32" s="27" t="e">
        <v>#DIV/0!</v>
      </c>
      <c r="AB32">
        <v>24504.799999999999</v>
      </c>
      <c r="AC32">
        <v>48120</v>
      </c>
      <c r="AD32" s="49">
        <v>20048.400000000001</v>
      </c>
      <c r="AE32">
        <v>37878.800000000003</v>
      </c>
      <c r="AF32">
        <v>12242.2</v>
      </c>
      <c r="AG32">
        <v>12113</v>
      </c>
      <c r="AH32">
        <v>0</v>
      </c>
      <c r="AI32">
        <v>0</v>
      </c>
      <c r="AJ32" s="27">
        <v>0.18185824817994833</v>
      </c>
      <c r="AK32" s="27">
        <v>3.5731323848952508E-3</v>
      </c>
      <c r="AL32" s="73">
        <v>0.21282626766417284</v>
      </c>
      <c r="AM32" s="27" t="e">
        <v>#DIV/0!</v>
      </c>
      <c r="AN32">
        <v>28902.400000000001</v>
      </c>
      <c r="AO32">
        <v>48676</v>
      </c>
      <c r="AP32" s="49">
        <v>26413.040000000001</v>
      </c>
      <c r="AQ32">
        <v>43509.8</v>
      </c>
      <c r="AR32">
        <v>22522.799999999999</v>
      </c>
      <c r="AS32">
        <v>15131</v>
      </c>
      <c r="AT32">
        <v>0</v>
      </c>
      <c r="AU32">
        <v>0</v>
      </c>
      <c r="AV32" s="83">
        <v>8.61298715677591E-2</v>
      </c>
      <c r="AW32" s="83">
        <v>7.1534927481356099E-3</v>
      </c>
      <c r="AX32" s="73">
        <v>0.10613443997041658</v>
      </c>
      <c r="AY32" s="27" t="e">
        <v>#DIV/0!</v>
      </c>
      <c r="AZ32">
        <v>28237.599999999999</v>
      </c>
      <c r="BA32">
        <v>55474</v>
      </c>
      <c r="BB32" s="49">
        <v>26653.359999999997</v>
      </c>
      <c r="BC32">
        <v>51936.4</v>
      </c>
      <c r="BD32">
        <v>14697</v>
      </c>
      <c r="BE32">
        <v>0</v>
      </c>
      <c r="BF32">
        <v>0</v>
      </c>
      <c r="BG32">
        <v>0</v>
      </c>
      <c r="BH32" s="27">
        <v>5.6103918180015359E-2</v>
      </c>
      <c r="BI32" s="27">
        <v>3.6123522104586242E-3</v>
      </c>
      <c r="BJ32" s="73">
        <v>6.3770414969174724E-2</v>
      </c>
      <c r="BK32" s="27" t="e">
        <v>#DIV/0!</v>
      </c>
      <c r="BL32">
        <v>40863.599999999999</v>
      </c>
      <c r="BM32">
        <v>86423</v>
      </c>
      <c r="BN32" s="49">
        <v>38188.880000000005</v>
      </c>
      <c r="BO32">
        <v>80640.600000000006</v>
      </c>
      <c r="BP32">
        <v>14831.6</v>
      </c>
      <c r="BQ32">
        <v>12100.4</v>
      </c>
      <c r="BR32">
        <v>0</v>
      </c>
      <c r="BS32">
        <v>0</v>
      </c>
      <c r="BT32" s="83">
        <v>6.5454830215644091E-2</v>
      </c>
      <c r="BU32" s="83">
        <v>1.072294281477179E-5</v>
      </c>
      <c r="BV32" s="73">
        <v>6.6908114737974783E-2</v>
      </c>
      <c r="BW32" s="27" t="e">
        <v>#DIV/0!</v>
      </c>
      <c r="BX32">
        <v>21354</v>
      </c>
      <c r="BY32">
        <v>38534</v>
      </c>
      <c r="BZ32" s="49">
        <v>20563.68</v>
      </c>
      <c r="CA32">
        <v>36673.800000000003</v>
      </c>
      <c r="CB32">
        <v>14735.4</v>
      </c>
      <c r="CC32">
        <v>10845.2</v>
      </c>
      <c r="CD32">
        <v>0</v>
      </c>
      <c r="CE32">
        <v>0</v>
      </c>
      <c r="CF32" s="27">
        <v>3.7010396178701867E-2</v>
      </c>
      <c r="CG32" s="27">
        <v>2.8343157590700616E-3</v>
      </c>
      <c r="CH32" s="73">
        <v>4.8274251310530883E-2</v>
      </c>
      <c r="CI32" s="27" t="e">
        <v>#DIV/0!</v>
      </c>
      <c r="CJ32">
        <v>18543.2</v>
      </c>
      <c r="CK32">
        <v>28067</v>
      </c>
      <c r="CL32" s="49">
        <v>16284.48</v>
      </c>
      <c r="CM32">
        <v>24498.400000000001</v>
      </c>
      <c r="CN32">
        <v>16212.8</v>
      </c>
      <c r="CO32">
        <v>9480.2000000000007</v>
      </c>
      <c r="CP32">
        <v>0</v>
      </c>
      <c r="CQ32">
        <v>0</v>
      </c>
      <c r="CR32" s="27">
        <v>0.12180853358643606</v>
      </c>
      <c r="CS32" s="27">
        <v>3.0391312773250887E-2</v>
      </c>
      <c r="CT32" s="73">
        <v>0.12714575836391487</v>
      </c>
      <c r="CU32" s="27" t="e">
        <v>#DIV/0!</v>
      </c>
      <c r="CV32"/>
      <c r="CW32" s="27">
        <v>0.11062871405428716</v>
      </c>
      <c r="CX32" s="27">
        <v>8.7789737270349034E-3</v>
      </c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GV32" s="4" t="e">
        <f t="shared" ref="GV32:GY32" si="19">AVERAGE(GV27:GV31)</f>
        <v>#DIV/0!</v>
      </c>
      <c r="GW32" s="4" t="e">
        <f t="shared" si="19"/>
        <v>#DIV/0!</v>
      </c>
      <c r="GX32" s="4" t="e">
        <f t="shared" si="19"/>
        <v>#DIV/0!</v>
      </c>
      <c r="GY32" s="4" t="e">
        <f t="shared" si="19"/>
        <v>#DIV/0!</v>
      </c>
    </row>
    <row r="33" spans="1:207" hidden="1" x14ac:dyDescent="0.3">
      <c r="A33" s="14" t="s">
        <v>34</v>
      </c>
      <c r="B33" s="18"/>
      <c r="C33" s="18"/>
      <c r="D33" s="24">
        <v>12374.400000000001</v>
      </c>
      <c r="E33" s="5">
        <v>20587</v>
      </c>
      <c r="F33">
        <v>10349</v>
      </c>
      <c r="G33">
        <v>0</v>
      </c>
      <c r="H33">
        <v>0</v>
      </c>
      <c r="I33">
        <v>0</v>
      </c>
      <c r="J33" s="27">
        <v>0</v>
      </c>
      <c r="K33" s="27">
        <v>0</v>
      </c>
      <c r="P33" s="2"/>
      <c r="Q33" s="2"/>
      <c r="R33" s="49">
        <v>38434.000000000007</v>
      </c>
      <c r="S33">
        <v>75464</v>
      </c>
      <c r="T33">
        <v>20345</v>
      </c>
      <c r="U33">
        <v>1311</v>
      </c>
      <c r="V33">
        <v>0</v>
      </c>
      <c r="W33">
        <v>552</v>
      </c>
      <c r="AB33" s="2"/>
      <c r="AC33" s="2"/>
      <c r="AD33" s="49">
        <v>19962.400000000001</v>
      </c>
      <c r="AE33">
        <v>37680</v>
      </c>
      <c r="AF33">
        <v>12226</v>
      </c>
      <c r="AG33">
        <v>12767</v>
      </c>
      <c r="AH33">
        <v>0</v>
      </c>
      <c r="AI33">
        <v>0</v>
      </c>
      <c r="AP33" s="49">
        <v>0</v>
      </c>
      <c r="BB33" s="49">
        <v>0</v>
      </c>
      <c r="BN33" s="49">
        <v>0</v>
      </c>
      <c r="BZ33" s="49"/>
      <c r="CA33">
        <v>36864</v>
      </c>
      <c r="CB33">
        <v>14738</v>
      </c>
      <c r="CC33">
        <v>9002</v>
      </c>
      <c r="CD33">
        <v>0</v>
      </c>
      <c r="CE33">
        <v>0</v>
      </c>
      <c r="CJ33" s="2"/>
      <c r="CK33" s="2"/>
      <c r="CL33" s="49">
        <v>15589.2</v>
      </c>
      <c r="CM33">
        <v>22848</v>
      </c>
      <c r="CN33">
        <v>16125</v>
      </c>
      <c r="CO33">
        <v>11643</v>
      </c>
      <c r="CP33">
        <v>0</v>
      </c>
      <c r="CQ33">
        <v>0</v>
      </c>
      <c r="CW33" s="27">
        <v>0</v>
      </c>
      <c r="CX33" s="27">
        <v>0</v>
      </c>
    </row>
    <row r="34" spans="1:207" hidden="1" x14ac:dyDescent="0.3">
      <c r="A34" s="14" t="s">
        <v>34</v>
      </c>
      <c r="B34" s="18"/>
      <c r="C34" s="18"/>
      <c r="D34" s="24">
        <v>12442.8</v>
      </c>
      <c r="E34" s="5">
        <v>20581</v>
      </c>
      <c r="F34">
        <v>10526</v>
      </c>
      <c r="G34">
        <v>0</v>
      </c>
      <c r="H34">
        <v>0</v>
      </c>
      <c r="I34">
        <v>0</v>
      </c>
      <c r="J34" s="27">
        <v>0</v>
      </c>
      <c r="K34" s="27">
        <v>0</v>
      </c>
      <c r="P34" s="2"/>
      <c r="Q34" s="2"/>
      <c r="R34" s="49">
        <v>38957.399999999994</v>
      </c>
      <c r="S34">
        <v>76800</v>
      </c>
      <c r="T34">
        <v>20553</v>
      </c>
      <c r="U34">
        <v>1616</v>
      </c>
      <c r="V34">
        <v>0</v>
      </c>
      <c r="W34">
        <v>81</v>
      </c>
      <c r="AB34" s="2"/>
      <c r="AC34" s="2"/>
      <c r="AD34" s="49">
        <v>19996.8</v>
      </c>
      <c r="AE34">
        <v>37750</v>
      </c>
      <c r="AF34">
        <v>12242</v>
      </c>
      <c r="AG34">
        <v>12671</v>
      </c>
      <c r="AH34">
        <v>0</v>
      </c>
      <c r="AI34">
        <v>0</v>
      </c>
      <c r="AP34" s="49">
        <v>0</v>
      </c>
      <c r="BB34" s="49">
        <v>0</v>
      </c>
      <c r="BN34" s="49">
        <v>0</v>
      </c>
      <c r="BZ34" s="49"/>
      <c r="CA34">
        <v>37289</v>
      </c>
      <c r="CB34">
        <v>14738</v>
      </c>
      <c r="CC34">
        <v>8977</v>
      </c>
      <c r="CD34">
        <v>0</v>
      </c>
      <c r="CE34">
        <v>0</v>
      </c>
      <c r="CJ34" s="2"/>
      <c r="CK34" s="2"/>
      <c r="CL34" s="49">
        <v>15771.2</v>
      </c>
      <c r="CM34">
        <v>23281</v>
      </c>
      <c r="CN34">
        <v>16147</v>
      </c>
      <c r="CO34">
        <v>9764</v>
      </c>
      <c r="CP34">
        <v>0</v>
      </c>
      <c r="CQ34">
        <v>0</v>
      </c>
      <c r="CW34" s="27">
        <v>0</v>
      </c>
      <c r="CX34" s="27">
        <v>0</v>
      </c>
    </row>
    <row r="35" spans="1:207" hidden="1" x14ac:dyDescent="0.3">
      <c r="A35" s="14" t="s">
        <v>34</v>
      </c>
      <c r="B35" s="18"/>
      <c r="C35" s="18"/>
      <c r="D35" s="24">
        <v>12798</v>
      </c>
      <c r="E35" s="5">
        <v>21632</v>
      </c>
      <c r="F35">
        <v>10363</v>
      </c>
      <c r="G35">
        <v>0</v>
      </c>
      <c r="H35">
        <v>0</v>
      </c>
      <c r="I35">
        <v>0</v>
      </c>
      <c r="J35" s="27">
        <v>0</v>
      </c>
      <c r="K35" s="27">
        <v>0</v>
      </c>
      <c r="P35" s="2"/>
      <c r="Q35" s="2"/>
      <c r="R35" s="49">
        <v>38694.6</v>
      </c>
      <c r="S35">
        <v>76220</v>
      </c>
      <c r="T35">
        <v>20209</v>
      </c>
      <c r="U35">
        <v>259</v>
      </c>
      <c r="V35">
        <v>0</v>
      </c>
      <c r="W35">
        <v>615</v>
      </c>
      <c r="AB35" s="2"/>
      <c r="AC35" s="2"/>
      <c r="AD35" s="49">
        <v>19962.400000000001</v>
      </c>
      <c r="AE35">
        <v>37680</v>
      </c>
      <c r="AF35">
        <v>12226</v>
      </c>
      <c r="AG35">
        <v>12671</v>
      </c>
      <c r="AH35">
        <v>0</v>
      </c>
      <c r="AI35">
        <v>0</v>
      </c>
      <c r="AP35" s="49">
        <v>0</v>
      </c>
      <c r="BB35" s="49">
        <v>0</v>
      </c>
      <c r="BN35" s="49">
        <v>0</v>
      </c>
      <c r="BZ35" s="49"/>
      <c r="CA35">
        <v>36723</v>
      </c>
      <c r="CB35">
        <v>14738</v>
      </c>
      <c r="CC35">
        <v>11299</v>
      </c>
      <c r="CD35">
        <v>0</v>
      </c>
      <c r="CE35">
        <v>0</v>
      </c>
      <c r="CJ35" s="2"/>
      <c r="CK35" s="2"/>
      <c r="CL35" s="49">
        <v>15551.2</v>
      </c>
      <c r="CM35">
        <v>22757</v>
      </c>
      <c r="CN35">
        <v>16121</v>
      </c>
      <c r="CO35">
        <v>11262</v>
      </c>
      <c r="CP35">
        <v>0</v>
      </c>
      <c r="CQ35">
        <v>0</v>
      </c>
      <c r="CW35" s="27">
        <v>0</v>
      </c>
      <c r="CX35" s="27">
        <v>0</v>
      </c>
    </row>
    <row r="36" spans="1:207" hidden="1" x14ac:dyDescent="0.3">
      <c r="A36" s="14" t="s">
        <v>34</v>
      </c>
      <c r="B36" s="18"/>
      <c r="C36" s="18"/>
      <c r="D36" s="24">
        <v>12390.8</v>
      </c>
      <c r="E36" s="5">
        <v>20621</v>
      </c>
      <c r="F36">
        <v>10356</v>
      </c>
      <c r="G36">
        <v>0</v>
      </c>
      <c r="H36">
        <v>0</v>
      </c>
      <c r="I36">
        <v>0</v>
      </c>
      <c r="J36" s="27">
        <v>0</v>
      </c>
      <c r="K36" s="27">
        <v>0</v>
      </c>
      <c r="P36" s="2"/>
      <c r="Q36" s="2"/>
      <c r="R36" s="49">
        <v>37974</v>
      </c>
      <c r="S36">
        <v>74378</v>
      </c>
      <c r="T36">
        <v>20038</v>
      </c>
      <c r="U36">
        <v>387</v>
      </c>
      <c r="V36">
        <v>0</v>
      </c>
      <c r="W36">
        <v>1038</v>
      </c>
      <c r="AB36" s="2"/>
      <c r="AC36" s="2"/>
      <c r="AD36" s="49">
        <v>19962.400000000001</v>
      </c>
      <c r="AE36">
        <v>37680</v>
      </c>
      <c r="AF36">
        <v>12226</v>
      </c>
      <c r="AG36">
        <v>12671</v>
      </c>
      <c r="AH36">
        <v>0</v>
      </c>
      <c r="AI36">
        <v>0</v>
      </c>
      <c r="AP36" s="49">
        <v>0</v>
      </c>
      <c r="BB36" s="49">
        <v>0</v>
      </c>
      <c r="BN36" s="49">
        <v>0</v>
      </c>
      <c r="BZ36" s="49"/>
      <c r="CA36">
        <v>36723</v>
      </c>
      <c r="CB36">
        <v>14738</v>
      </c>
      <c r="CC36">
        <v>11299</v>
      </c>
      <c r="CD36">
        <v>0</v>
      </c>
      <c r="CE36">
        <v>0</v>
      </c>
      <c r="CJ36" s="2"/>
      <c r="CK36" s="2"/>
      <c r="CL36" s="49">
        <v>15514</v>
      </c>
      <c r="CM36">
        <v>22669</v>
      </c>
      <c r="CN36">
        <v>16116</v>
      </c>
      <c r="CO36">
        <v>9368</v>
      </c>
      <c r="CP36">
        <v>0</v>
      </c>
      <c r="CQ36">
        <v>0</v>
      </c>
      <c r="CW36" s="27">
        <v>0</v>
      </c>
      <c r="CX36" s="27">
        <v>0</v>
      </c>
    </row>
    <row r="37" spans="1:207" hidden="1" x14ac:dyDescent="0.3">
      <c r="A37" s="14" t="s">
        <v>34</v>
      </c>
      <c r="B37" s="18"/>
      <c r="C37" s="18"/>
      <c r="D37" s="24">
        <v>12479.599999999999</v>
      </c>
      <c r="E37" s="5">
        <v>20751</v>
      </c>
      <c r="F37">
        <v>10448</v>
      </c>
      <c r="G37">
        <v>0</v>
      </c>
      <c r="H37">
        <v>0</v>
      </c>
      <c r="I37">
        <v>0</v>
      </c>
      <c r="J37" s="27">
        <v>0</v>
      </c>
      <c r="K37" s="27">
        <v>0</v>
      </c>
      <c r="P37" s="2"/>
      <c r="Q37" s="2"/>
      <c r="R37" s="49">
        <v>38188.6</v>
      </c>
      <c r="S37">
        <v>74830</v>
      </c>
      <c r="T37">
        <v>20161</v>
      </c>
      <c r="U37">
        <v>733</v>
      </c>
      <c r="V37">
        <v>0</v>
      </c>
      <c r="W37">
        <v>961</v>
      </c>
      <c r="AB37" s="2"/>
      <c r="AC37" s="2"/>
      <c r="AD37" s="49">
        <v>19962.400000000001</v>
      </c>
      <c r="AE37">
        <v>37680</v>
      </c>
      <c r="AF37">
        <v>12226</v>
      </c>
      <c r="AG37">
        <v>12781</v>
      </c>
      <c r="AH37">
        <v>0</v>
      </c>
      <c r="AI37">
        <v>0</v>
      </c>
      <c r="AP37" s="49">
        <v>0</v>
      </c>
      <c r="BB37" s="49">
        <v>0</v>
      </c>
      <c r="BN37" s="49">
        <v>0</v>
      </c>
      <c r="BZ37" s="49"/>
      <c r="CA37">
        <v>36723</v>
      </c>
      <c r="CB37">
        <v>14739</v>
      </c>
      <c r="CC37">
        <v>11318</v>
      </c>
      <c r="CD37">
        <v>0</v>
      </c>
      <c r="CE37">
        <v>0</v>
      </c>
      <c r="CJ37" s="2"/>
      <c r="CK37" s="2"/>
      <c r="CL37" s="49">
        <v>15763.2</v>
      </c>
      <c r="CM37">
        <v>23261</v>
      </c>
      <c r="CN37">
        <v>16147</v>
      </c>
      <c r="CO37">
        <v>9764</v>
      </c>
      <c r="CP37">
        <v>0</v>
      </c>
      <c r="CQ37">
        <v>0</v>
      </c>
      <c r="CW37" s="27">
        <v>0</v>
      </c>
      <c r="CX37" s="27">
        <v>0</v>
      </c>
    </row>
    <row r="38" spans="1:207" s="4" customFormat="1" ht="15" thickBot="1" x14ac:dyDescent="0.35">
      <c r="A38" s="78" t="s">
        <v>34</v>
      </c>
      <c r="B38" s="19"/>
      <c r="C38" s="19"/>
      <c r="D38" s="32">
        <v>12497.119999999999</v>
      </c>
      <c r="E38" s="35">
        <v>20834.400000000001</v>
      </c>
      <c r="F38" s="36">
        <v>10408.4</v>
      </c>
      <c r="G38" s="33">
        <v>0</v>
      </c>
      <c r="H38" s="33">
        <v>0</v>
      </c>
      <c r="I38" s="33">
        <v>0</v>
      </c>
      <c r="J38" s="86">
        <v>0.11434020183727696</v>
      </c>
      <c r="K38" s="86">
        <v>6.6335148218375061E-3</v>
      </c>
      <c r="L38" s="83">
        <v>7.2706324811585593E-2</v>
      </c>
      <c r="M38" s="83">
        <v>1.0717913989304001E-2</v>
      </c>
      <c r="N38" s="27"/>
      <c r="O38" s="27" t="e">
        <v>#DIV/0!</v>
      </c>
      <c r="P38" s="62"/>
      <c r="Q38" s="62"/>
      <c r="R38" s="49">
        <v>38449.72</v>
      </c>
      <c r="S38">
        <v>75538.399999999994</v>
      </c>
      <c r="T38">
        <v>20261.2</v>
      </c>
      <c r="U38">
        <v>861.2</v>
      </c>
      <c r="V38">
        <v>0</v>
      </c>
      <c r="W38">
        <v>649.4</v>
      </c>
      <c r="X38" s="27">
        <v>0.26812957240497398</v>
      </c>
      <c r="Y38" s="27">
        <v>6.43854700835007E-3</v>
      </c>
      <c r="Z38" s="27"/>
      <c r="AA38" s="27" t="e">
        <v>#DIV/0!</v>
      </c>
      <c r="AB38" s="62"/>
      <c r="AC38" s="62"/>
      <c r="AD38" s="49">
        <v>19969.28</v>
      </c>
      <c r="AE38">
        <v>37694</v>
      </c>
      <c r="AF38">
        <v>12230</v>
      </c>
      <c r="AG38">
        <v>12712.2</v>
      </c>
      <c r="AH38">
        <v>0</v>
      </c>
      <c r="AI38">
        <v>0</v>
      </c>
      <c r="AJ38" s="83">
        <v>0.18768600837489499</v>
      </c>
      <c r="AK38" s="83">
        <v>2.9731323848952501E-3</v>
      </c>
      <c r="AL38" s="27"/>
      <c r="AM38" s="27" t="e">
        <v>#DIV/0!</v>
      </c>
      <c r="AN38" s="27"/>
      <c r="AO38" s="27"/>
      <c r="AP38" s="49">
        <v>0</v>
      </c>
      <c r="AQ38" t="e">
        <v>#DIV/0!</v>
      </c>
      <c r="AR38"/>
      <c r="AS38"/>
      <c r="AT38"/>
      <c r="AU38"/>
      <c r="AV38" s="27">
        <v>8.3258250465375591E-2</v>
      </c>
      <c r="AW38" s="27">
        <v>6.6087916091921552E-3</v>
      </c>
      <c r="AX38" s="27"/>
      <c r="AY38" s="27" t="e">
        <v>#DIV/0!</v>
      </c>
      <c r="AZ38" s="27"/>
      <c r="BA38" s="27"/>
      <c r="BB38" s="49">
        <v>26577.200000000001</v>
      </c>
      <c r="BC38">
        <v>51715.6</v>
      </c>
      <c r="BD38">
        <v>14727.4</v>
      </c>
      <c r="BE38">
        <v>0</v>
      </c>
      <c r="BF38">
        <v>0</v>
      </c>
      <c r="BG38">
        <v>0</v>
      </c>
      <c r="BH38" s="83">
        <v>5.8767698660603537E-2</v>
      </c>
      <c r="BI38" s="83">
        <v>6.9687562248989265E-4</v>
      </c>
      <c r="BJ38" s="73">
        <v>6.7750657965893954E-2</v>
      </c>
      <c r="BK38" s="27" t="e">
        <v>#DIV/0!</v>
      </c>
      <c r="BL38">
        <v>40862.6</v>
      </c>
      <c r="BM38" s="27"/>
      <c r="BN38" s="49">
        <v>0</v>
      </c>
      <c r="BO38" t="e">
        <v>#DIV/0!</v>
      </c>
      <c r="BP38"/>
      <c r="BQ38"/>
      <c r="BR38"/>
      <c r="BS38"/>
      <c r="BT38" s="27">
        <v>6.4654830215644096E-2</v>
      </c>
      <c r="BU38" s="27">
        <v>5.0722942814771801E-4</v>
      </c>
      <c r="BV38" s="27"/>
      <c r="BW38" s="27" t="e">
        <v>#DIV/0!</v>
      </c>
      <c r="BX38">
        <v>18539.2</v>
      </c>
      <c r="BY38">
        <v>28067</v>
      </c>
      <c r="BZ38" s="49" t="e">
        <v>#DIV/0!</v>
      </c>
      <c r="CA38">
        <v>36864.400000000001</v>
      </c>
      <c r="CB38">
        <v>14738.2</v>
      </c>
      <c r="CC38">
        <v>10379</v>
      </c>
      <c r="CD38">
        <v>0</v>
      </c>
      <c r="CE38">
        <v>0</v>
      </c>
      <c r="CF38" s="83">
        <v>3.7610396178701898E-2</v>
      </c>
      <c r="CG38" s="83">
        <v>2.1343157590700602E-3</v>
      </c>
      <c r="CH38" s="27"/>
      <c r="CI38" s="27" t="e">
        <v>#DIV/0!</v>
      </c>
      <c r="CJ38" s="62"/>
      <c r="CK38" s="62"/>
      <c r="CL38" s="49">
        <v>15637.76</v>
      </c>
      <c r="CM38">
        <v>22963.200000000001</v>
      </c>
      <c r="CN38">
        <v>16131.2</v>
      </c>
      <c r="CO38">
        <v>10360.200000000001</v>
      </c>
      <c r="CP38">
        <v>0</v>
      </c>
      <c r="CQ38">
        <v>0</v>
      </c>
      <c r="CR38" s="27">
        <v>0.14190853358643599</v>
      </c>
      <c r="CS38" s="27">
        <v>2.2991312773250901E-2</v>
      </c>
      <c r="CT38" s="27"/>
      <c r="CU38" s="27" t="e">
        <v>#DIV/0!</v>
      </c>
      <c r="CV38"/>
      <c r="CW38" s="79">
        <v>0.11434020183727696</v>
      </c>
      <c r="CX38" s="79">
        <v>6.6335148218375061E-3</v>
      </c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GV38" s="4" t="e">
        <f t="shared" ref="GV38:GY38" si="20">AVERAGE(GV33:GV37)</f>
        <v>#DIV/0!</v>
      </c>
      <c r="GW38" s="4" t="e">
        <f t="shared" si="20"/>
        <v>#DIV/0!</v>
      </c>
      <c r="GX38" s="4" t="e">
        <f t="shared" si="20"/>
        <v>#DIV/0!</v>
      </c>
      <c r="GY38" s="4" t="e">
        <f t="shared" si="20"/>
        <v>#DIV/0!</v>
      </c>
    </row>
    <row r="39" spans="1:207" x14ac:dyDescent="0.3">
      <c r="A39" s="2"/>
      <c r="B39" s="2"/>
      <c r="C39" s="2"/>
      <c r="D39" s="2"/>
      <c r="R39" s="2"/>
      <c r="AF39" s="1"/>
      <c r="AG39" s="1"/>
      <c r="BH39" s="58"/>
      <c r="BI39" s="58"/>
    </row>
    <row r="40" spans="1:207" x14ac:dyDescent="0.3">
      <c r="A40" s="2"/>
      <c r="B40" s="2"/>
      <c r="C40" s="2"/>
      <c r="D40" s="2"/>
      <c r="R40" s="2"/>
      <c r="AF40" s="1"/>
      <c r="AG40" s="1"/>
      <c r="AV40" s="27"/>
      <c r="AW40" s="27"/>
    </row>
    <row r="41" spans="1:207" x14ac:dyDescent="0.3">
      <c r="A41" s="3"/>
      <c r="B41" s="3"/>
      <c r="C41" s="3"/>
      <c r="D41" s="3"/>
      <c r="R41" s="3"/>
      <c r="AF41" s="1"/>
      <c r="AG41" s="1"/>
      <c r="BB41" s="49"/>
      <c r="BH41" s="27"/>
      <c r="BI41" s="27"/>
      <c r="BJ41" s="73"/>
      <c r="BK41" s="27"/>
    </row>
    <row r="42" spans="1:207" x14ac:dyDescent="0.3">
      <c r="AF42" s="1"/>
      <c r="AG42" s="1"/>
    </row>
    <row r="43" spans="1:207" x14ac:dyDescent="0.3">
      <c r="AF43" s="1"/>
      <c r="AG43" s="1"/>
    </row>
    <row r="44" spans="1:207" x14ac:dyDescent="0.3">
      <c r="AF44" s="1"/>
      <c r="AG44" s="1"/>
    </row>
    <row r="54" spans="1:18" x14ac:dyDescent="0.3">
      <c r="A54" s="2"/>
      <c r="B54" s="2"/>
      <c r="C54" s="2"/>
      <c r="D54" s="2"/>
      <c r="R54" s="2"/>
    </row>
  </sheetData>
  <mergeCells count="8">
    <mergeCell ref="L1:M1"/>
    <mergeCell ref="P1:AA1"/>
    <mergeCell ref="AB1:AM1"/>
    <mergeCell ref="BX1:CI1"/>
    <mergeCell ref="CJ1:CU1"/>
    <mergeCell ref="AN1:AY1"/>
    <mergeCell ref="AZ1:BK1"/>
    <mergeCell ref="BL1:BW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70C6A-433A-4B58-9E10-37DD9E072826}">
  <dimension ref="A1:DP48"/>
  <sheetViews>
    <sheetView topLeftCell="M1" zoomScale="70" zoomScaleNormal="70" workbookViewId="0">
      <selection activeCell="AW54" sqref="AW54"/>
    </sheetView>
  </sheetViews>
  <sheetFormatPr defaultRowHeight="14.4" x14ac:dyDescent="0.3"/>
  <cols>
    <col min="1" max="1" width="10.77734375" customWidth="1"/>
    <col min="2" max="3" width="12.77734375" hidden="1" customWidth="1"/>
    <col min="4" max="4" width="21.88671875" hidden="1" customWidth="1"/>
    <col min="5" max="5" width="12.33203125" hidden="1" customWidth="1"/>
    <col min="6" max="6" width="8.77734375" hidden="1" customWidth="1"/>
    <col min="7" max="7" width="15.5546875" hidden="1" customWidth="1"/>
    <col min="8" max="8" width="17.5546875" hidden="1" customWidth="1"/>
    <col min="9" max="9" width="17" hidden="1" customWidth="1"/>
    <col min="10" max="10" width="15.6640625" customWidth="1"/>
    <col min="11" max="11" width="12.5546875" customWidth="1"/>
    <col min="12" max="13" width="17" customWidth="1"/>
    <col min="14" max="17" width="17" hidden="1" customWidth="1"/>
    <col min="18" max="18" width="13.5546875" hidden="1" customWidth="1"/>
    <col min="19" max="19" width="12.33203125" hidden="1" customWidth="1"/>
    <col min="20" max="20" width="8.77734375" hidden="1" customWidth="1"/>
    <col min="21" max="21" width="15.5546875" hidden="1" customWidth="1"/>
    <col min="22" max="22" width="17.5546875" hidden="1" customWidth="1"/>
    <col min="23" max="23" width="17" hidden="1" customWidth="1"/>
    <col min="24" max="25" width="17" customWidth="1"/>
    <col min="26" max="30" width="17" hidden="1" customWidth="1"/>
    <col min="31" max="31" width="12.33203125" hidden="1" customWidth="1"/>
    <col min="32" max="32" width="8.77734375" hidden="1" customWidth="1"/>
    <col min="33" max="33" width="15.5546875" hidden="1" customWidth="1"/>
    <col min="34" max="34" width="17.5546875" hidden="1" customWidth="1"/>
    <col min="35" max="35" width="17" hidden="1" customWidth="1"/>
    <col min="36" max="37" width="17" customWidth="1"/>
    <col min="38" max="42" width="17" hidden="1" customWidth="1"/>
    <col min="43" max="43" width="12.33203125" hidden="1" customWidth="1"/>
    <col min="44" max="44" width="8.77734375" hidden="1" customWidth="1"/>
    <col min="45" max="45" width="15.5546875" hidden="1" customWidth="1"/>
    <col min="46" max="46" width="17.5546875" hidden="1" customWidth="1"/>
    <col min="47" max="47" width="17" hidden="1" customWidth="1"/>
    <col min="48" max="49" width="17" customWidth="1"/>
    <col min="50" max="54" width="17" hidden="1" customWidth="1"/>
    <col min="55" max="55" width="12.33203125" hidden="1" customWidth="1"/>
    <col min="56" max="56" width="8.77734375" hidden="1" customWidth="1"/>
    <col min="57" max="57" width="15.5546875" hidden="1" customWidth="1"/>
    <col min="58" max="58" width="17.5546875" hidden="1" customWidth="1"/>
    <col min="59" max="59" width="17" hidden="1" customWidth="1"/>
    <col min="60" max="61" width="17" customWidth="1"/>
    <col min="62" max="66" width="17" hidden="1" customWidth="1"/>
    <col min="67" max="67" width="12.33203125" hidden="1" customWidth="1"/>
    <col min="68" max="68" width="8.77734375" hidden="1" customWidth="1"/>
    <col min="69" max="69" width="15.5546875" hidden="1" customWidth="1"/>
    <col min="70" max="70" width="17.5546875" hidden="1" customWidth="1"/>
    <col min="71" max="71" width="17" hidden="1" customWidth="1"/>
    <col min="72" max="73" width="17" customWidth="1"/>
    <col min="74" max="78" width="17" hidden="1" customWidth="1"/>
    <col min="79" max="79" width="12.33203125" hidden="1" customWidth="1"/>
    <col min="80" max="80" width="8.77734375" hidden="1" customWidth="1"/>
    <col min="81" max="81" width="15.5546875" hidden="1" customWidth="1"/>
    <col min="82" max="82" width="17.5546875" hidden="1" customWidth="1"/>
    <col min="83" max="83" width="17" hidden="1" customWidth="1"/>
    <col min="84" max="85" width="17" customWidth="1"/>
    <col min="86" max="90" width="17" hidden="1" customWidth="1"/>
    <col min="91" max="91" width="12.33203125" hidden="1" customWidth="1"/>
    <col min="92" max="92" width="8.77734375" hidden="1" customWidth="1"/>
    <col min="93" max="93" width="15.5546875" hidden="1" customWidth="1"/>
    <col min="94" max="94" width="17.5546875" hidden="1" customWidth="1"/>
    <col min="95" max="95" width="17" hidden="1" customWidth="1"/>
    <col min="96" max="97" width="17" customWidth="1"/>
    <col min="98" max="99" width="17" hidden="1" customWidth="1"/>
    <col min="100" max="100" width="7.109375" bestFit="1" customWidth="1"/>
    <col min="101" max="101" width="15.6640625" customWidth="1"/>
    <col min="102" max="102" width="12.5546875" customWidth="1"/>
    <col min="103" max="207" width="7.109375" bestFit="1" customWidth="1"/>
  </cols>
  <sheetData>
    <row r="1" spans="1:120" ht="15" customHeight="1" thickBot="1" x14ac:dyDescent="0.35">
      <c r="A1" s="13" t="s">
        <v>58</v>
      </c>
      <c r="B1" s="97" t="s">
        <v>24</v>
      </c>
      <c r="C1" s="98"/>
      <c r="D1" s="98"/>
      <c r="E1" s="98"/>
      <c r="F1" s="98"/>
      <c r="G1" s="98"/>
      <c r="H1" s="98"/>
      <c r="I1" s="98"/>
      <c r="J1" s="100"/>
      <c r="K1" s="100"/>
      <c r="L1" s="135" t="s">
        <v>24</v>
      </c>
      <c r="M1" s="135"/>
      <c r="N1" s="98"/>
      <c r="O1" s="99"/>
      <c r="P1" s="139" t="s">
        <v>4</v>
      </c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7"/>
      <c r="AB1" s="135" t="s">
        <v>5</v>
      </c>
      <c r="AC1" s="135"/>
      <c r="AD1" s="135"/>
      <c r="AE1" s="135"/>
      <c r="AF1" s="135"/>
      <c r="AG1" s="135"/>
      <c r="AH1" s="135"/>
      <c r="AI1" s="135"/>
      <c r="AJ1" s="135"/>
      <c r="AK1" s="135"/>
      <c r="AL1" s="135"/>
      <c r="AM1" s="135"/>
      <c r="AN1" s="136" t="s">
        <v>1</v>
      </c>
      <c r="AO1" s="136"/>
      <c r="AP1" s="136"/>
      <c r="AQ1" s="136"/>
      <c r="AR1" s="136"/>
      <c r="AS1" s="136"/>
      <c r="AT1" s="136"/>
      <c r="AU1" s="136"/>
      <c r="AV1" s="136"/>
      <c r="AW1" s="136"/>
      <c r="AX1" s="136"/>
      <c r="AY1" s="136"/>
      <c r="AZ1" s="135" t="s">
        <v>2</v>
      </c>
      <c r="BA1" s="135"/>
      <c r="BB1" s="135"/>
      <c r="BC1" s="135"/>
      <c r="BD1" s="135"/>
      <c r="BE1" s="135"/>
      <c r="BF1" s="135"/>
      <c r="BG1" s="135"/>
      <c r="BH1" s="135"/>
      <c r="BI1" s="135"/>
      <c r="BJ1" s="135"/>
      <c r="BK1" s="135"/>
      <c r="BL1" s="136" t="s">
        <v>16</v>
      </c>
      <c r="BM1" s="136"/>
      <c r="BN1" s="136"/>
      <c r="BO1" s="136"/>
      <c r="BP1" s="136"/>
      <c r="BQ1" s="136"/>
      <c r="BR1" s="136"/>
      <c r="BS1" s="136"/>
      <c r="BT1" s="136"/>
      <c r="BU1" s="136"/>
      <c r="BV1" s="136"/>
      <c r="BW1" s="137"/>
      <c r="BX1" s="138" t="s">
        <v>3</v>
      </c>
      <c r="BY1" s="135"/>
      <c r="BZ1" s="135"/>
      <c r="CA1" s="135"/>
      <c r="CB1" s="135"/>
      <c r="CC1" s="135"/>
      <c r="CD1" s="135"/>
      <c r="CE1" s="135"/>
      <c r="CF1" s="135"/>
      <c r="CG1" s="135"/>
      <c r="CH1" s="135"/>
      <c r="CI1" s="135"/>
      <c r="CJ1" s="136" t="s">
        <v>17</v>
      </c>
      <c r="CK1" s="136"/>
      <c r="CL1" s="136"/>
      <c r="CM1" s="136"/>
      <c r="CN1" s="136"/>
      <c r="CO1" s="136"/>
      <c r="CP1" s="136"/>
      <c r="CQ1" s="136"/>
      <c r="CR1" s="136"/>
      <c r="CS1" s="136"/>
      <c r="CT1" s="136"/>
      <c r="CU1" s="137"/>
    </row>
    <row r="2" spans="1:120" ht="15" thickBot="1" x14ac:dyDescent="0.35">
      <c r="A2" s="134" t="s">
        <v>61</v>
      </c>
      <c r="B2" s="17" t="s">
        <v>23</v>
      </c>
      <c r="C2" s="17"/>
      <c r="D2" s="10" t="s">
        <v>20</v>
      </c>
      <c r="E2" s="10" t="s">
        <v>11</v>
      </c>
      <c r="F2" s="11" t="s">
        <v>12</v>
      </c>
      <c r="G2" s="11" t="s">
        <v>13</v>
      </c>
      <c r="H2" s="11" t="s">
        <v>14</v>
      </c>
      <c r="I2" s="12" t="s">
        <v>15</v>
      </c>
      <c r="J2" s="90" t="s">
        <v>56</v>
      </c>
      <c r="K2" s="90" t="s">
        <v>57</v>
      </c>
      <c r="L2" s="11" t="s">
        <v>21</v>
      </c>
      <c r="M2" s="11" t="s">
        <v>19</v>
      </c>
      <c r="N2" s="11" t="s">
        <v>22</v>
      </c>
      <c r="O2" s="12" t="s">
        <v>18</v>
      </c>
      <c r="P2" s="17" t="s">
        <v>23</v>
      </c>
      <c r="Q2" s="17"/>
      <c r="R2" s="10" t="s">
        <v>20</v>
      </c>
      <c r="S2" s="10" t="s">
        <v>11</v>
      </c>
      <c r="T2" s="11" t="s">
        <v>12</v>
      </c>
      <c r="U2" s="11" t="s">
        <v>13</v>
      </c>
      <c r="V2" s="11" t="s">
        <v>14</v>
      </c>
      <c r="W2" s="12" t="s">
        <v>15</v>
      </c>
      <c r="X2" s="11" t="s">
        <v>21</v>
      </c>
      <c r="Y2" s="11" t="s">
        <v>19</v>
      </c>
      <c r="Z2" s="11" t="s">
        <v>22</v>
      </c>
      <c r="AA2" s="12" t="s">
        <v>18</v>
      </c>
      <c r="AB2" s="17" t="s">
        <v>23</v>
      </c>
      <c r="AC2" s="17"/>
      <c r="AD2" s="10" t="s">
        <v>20</v>
      </c>
      <c r="AE2" s="10" t="s">
        <v>11</v>
      </c>
      <c r="AF2" s="11" t="s">
        <v>12</v>
      </c>
      <c r="AG2" s="11" t="s">
        <v>13</v>
      </c>
      <c r="AH2" s="11" t="s">
        <v>14</v>
      </c>
      <c r="AI2" s="12" t="s">
        <v>15</v>
      </c>
      <c r="AJ2" s="11" t="s">
        <v>21</v>
      </c>
      <c r="AK2" s="11" t="s">
        <v>19</v>
      </c>
      <c r="AL2" s="11" t="s">
        <v>22</v>
      </c>
      <c r="AM2" s="12" t="s">
        <v>18</v>
      </c>
      <c r="AN2" s="17" t="s">
        <v>23</v>
      </c>
      <c r="AO2" s="17"/>
      <c r="AP2" s="10" t="s">
        <v>20</v>
      </c>
      <c r="AQ2" s="10" t="s">
        <v>11</v>
      </c>
      <c r="AR2" s="11" t="s">
        <v>12</v>
      </c>
      <c r="AS2" s="11" t="s">
        <v>13</v>
      </c>
      <c r="AT2" s="11" t="s">
        <v>14</v>
      </c>
      <c r="AU2" s="12" t="s">
        <v>15</v>
      </c>
      <c r="AV2" s="11" t="s">
        <v>21</v>
      </c>
      <c r="AW2" s="11" t="s">
        <v>19</v>
      </c>
      <c r="AX2" s="11" t="s">
        <v>22</v>
      </c>
      <c r="AY2" s="12" t="s">
        <v>18</v>
      </c>
      <c r="AZ2" s="17" t="s">
        <v>23</v>
      </c>
      <c r="BA2" s="17"/>
      <c r="BB2" s="10" t="s">
        <v>20</v>
      </c>
      <c r="BC2" s="10" t="s">
        <v>11</v>
      </c>
      <c r="BD2" s="11" t="s">
        <v>12</v>
      </c>
      <c r="BE2" s="11" t="s">
        <v>13</v>
      </c>
      <c r="BF2" s="11" t="s">
        <v>14</v>
      </c>
      <c r="BG2" s="12" t="s">
        <v>15</v>
      </c>
      <c r="BH2" s="11" t="s">
        <v>21</v>
      </c>
      <c r="BI2" s="11" t="s">
        <v>19</v>
      </c>
      <c r="BJ2" s="11" t="s">
        <v>22</v>
      </c>
      <c r="BK2" s="12" t="s">
        <v>18</v>
      </c>
      <c r="BL2" s="17" t="s">
        <v>23</v>
      </c>
      <c r="BM2" s="17"/>
      <c r="BN2" s="10" t="s">
        <v>20</v>
      </c>
      <c r="BO2" s="10" t="s">
        <v>11</v>
      </c>
      <c r="BP2" s="11" t="s">
        <v>12</v>
      </c>
      <c r="BQ2" s="11" t="s">
        <v>13</v>
      </c>
      <c r="BR2" s="11" t="s">
        <v>14</v>
      </c>
      <c r="BS2" s="12" t="s">
        <v>15</v>
      </c>
      <c r="BT2" s="11" t="s">
        <v>21</v>
      </c>
      <c r="BU2" s="11" t="s">
        <v>19</v>
      </c>
      <c r="BV2" s="11" t="s">
        <v>22</v>
      </c>
      <c r="BW2" s="12" t="s">
        <v>18</v>
      </c>
      <c r="BX2" s="17" t="s">
        <v>23</v>
      </c>
      <c r="BY2" s="17"/>
      <c r="BZ2" s="10" t="s">
        <v>20</v>
      </c>
      <c r="CA2" s="10" t="s">
        <v>11</v>
      </c>
      <c r="CB2" s="11" t="s">
        <v>12</v>
      </c>
      <c r="CC2" s="11" t="s">
        <v>13</v>
      </c>
      <c r="CD2" s="11" t="s">
        <v>14</v>
      </c>
      <c r="CE2" s="12" t="s">
        <v>15</v>
      </c>
      <c r="CF2" s="11" t="s">
        <v>21</v>
      </c>
      <c r="CG2" s="11" t="s">
        <v>19</v>
      </c>
      <c r="CH2" s="11" t="s">
        <v>22</v>
      </c>
      <c r="CI2" s="12" t="s">
        <v>18</v>
      </c>
      <c r="CJ2" s="17" t="s">
        <v>23</v>
      </c>
      <c r="CK2" s="17"/>
      <c r="CL2" s="10" t="s">
        <v>20</v>
      </c>
      <c r="CM2" s="10" t="s">
        <v>11</v>
      </c>
      <c r="CN2" s="11" t="s">
        <v>12</v>
      </c>
      <c r="CO2" s="11" t="s">
        <v>13</v>
      </c>
      <c r="CP2" s="11" t="s">
        <v>14</v>
      </c>
      <c r="CQ2" s="12" t="s">
        <v>15</v>
      </c>
      <c r="CR2" s="11" t="s">
        <v>21</v>
      </c>
      <c r="CS2" s="11" t="s">
        <v>19</v>
      </c>
      <c r="CT2" s="11" t="s">
        <v>22</v>
      </c>
      <c r="CU2" s="12" t="s">
        <v>18</v>
      </c>
      <c r="CW2" s="72" t="s">
        <v>53</v>
      </c>
      <c r="CX2" s="72" t="s">
        <v>54</v>
      </c>
    </row>
    <row r="3" spans="1:120" hidden="1" x14ac:dyDescent="0.3">
      <c r="A3" s="14" t="s">
        <v>36</v>
      </c>
      <c r="B3" s="23"/>
      <c r="C3" s="23"/>
      <c r="D3" s="24">
        <f>0.4 * E3 + 0.4 * F3 + 0.2 * I3</f>
        <v>12374.400000000001</v>
      </c>
      <c r="E3" s="5">
        <v>20587</v>
      </c>
      <c r="F3">
        <v>10349</v>
      </c>
      <c r="G3">
        <v>0</v>
      </c>
      <c r="H3">
        <v>0</v>
      </c>
      <c r="I3" s="6">
        <v>0</v>
      </c>
      <c r="L3" s="45">
        <f>($B$8-D3)/$B$8</f>
        <v>8.5680508349342294E-2</v>
      </c>
      <c r="M3" s="21"/>
      <c r="N3" s="48"/>
      <c r="O3" s="22"/>
      <c r="R3" s="24">
        <f>0.4 * S3 + 0.4 * T3 + 0.2 *W3</f>
        <v>38410.800000000003</v>
      </c>
      <c r="S3" s="28">
        <v>75267</v>
      </c>
      <c r="T3">
        <v>20192</v>
      </c>
      <c r="U3">
        <v>0</v>
      </c>
      <c r="V3">
        <v>0</v>
      </c>
      <c r="W3">
        <v>1136</v>
      </c>
      <c r="X3" s="45">
        <f>($P$8-R3)/$P$8</f>
        <v>0.26906740957252462</v>
      </c>
      <c r="Y3" s="21"/>
      <c r="Z3" s="48"/>
      <c r="AA3" s="22"/>
      <c r="AB3" s="6"/>
      <c r="AD3" s="24">
        <f>0.4 * AE3 + 0.4 * AF3 + 0.2 * AI3</f>
        <v>19962.400000000001</v>
      </c>
      <c r="AE3" s="5">
        <v>37680</v>
      </c>
      <c r="AF3">
        <v>12226</v>
      </c>
      <c r="AG3">
        <v>12671</v>
      </c>
      <c r="AH3">
        <v>0</v>
      </c>
      <c r="AI3">
        <v>0</v>
      </c>
      <c r="AJ3" s="45">
        <f>($AB$8-AD3)/$AB$8</f>
        <v>0.1852347678443152</v>
      </c>
      <c r="AK3" s="21"/>
      <c r="AL3" s="48"/>
      <c r="AM3" s="22"/>
      <c r="AN3" s="6"/>
      <c r="AP3" s="24">
        <f>0.4 * AQ3 + 0.4 * AR3 + 0.2 * AU3</f>
        <v>26286</v>
      </c>
      <c r="AQ3">
        <v>43232</v>
      </c>
      <c r="AR3">
        <v>22483</v>
      </c>
      <c r="AS3">
        <v>20154</v>
      </c>
      <c r="AT3">
        <v>0</v>
      </c>
      <c r="AU3" s="6">
        <v>0</v>
      </c>
      <c r="AV3" s="45">
        <f>($AN$8-AP3)/$AN$8</f>
        <v>9.0399468482684209E-2</v>
      </c>
      <c r="AW3" s="21"/>
      <c r="AX3" s="48"/>
      <c r="AY3" s="22"/>
      <c r="AZ3" s="6"/>
      <c r="BB3" s="24">
        <f>0.4 * BC3 + 0.4 * BD3 + 0.2 * BG3</f>
        <v>26732.800000000003</v>
      </c>
      <c r="BC3" s="5">
        <v>52173</v>
      </c>
      <c r="BD3">
        <v>14659</v>
      </c>
      <c r="BE3">
        <v>0</v>
      </c>
      <c r="BF3">
        <v>0</v>
      </c>
      <c r="BG3">
        <v>0</v>
      </c>
      <c r="BH3" s="45">
        <f>($AZ$8-BB3)/$AZ$8</f>
        <v>5.3156522724696662E-2</v>
      </c>
      <c r="BI3" s="21"/>
      <c r="BJ3" s="48"/>
      <c r="BK3" s="22"/>
      <c r="BL3" s="6"/>
      <c r="BN3" s="24">
        <f>0.4 * BO3 + 0.4 * BP3 + 0.2 * BS3</f>
        <v>38202</v>
      </c>
      <c r="BO3" s="5">
        <v>80673</v>
      </c>
      <c r="BP3">
        <v>14832</v>
      </c>
      <c r="BQ3">
        <v>12298</v>
      </c>
      <c r="BR3">
        <v>0</v>
      </c>
      <c r="BS3">
        <v>0</v>
      </c>
      <c r="BT3" s="45">
        <f>($BL$8-BN3)/$BL$8</f>
        <v>6.5042242214803828E-2</v>
      </c>
      <c r="BU3" s="21"/>
      <c r="BV3" s="48"/>
      <c r="BW3" s="22"/>
      <c r="BX3" s="6"/>
      <c r="BZ3" s="24">
        <f>0.4 * CA3 + 0.4 * CB3 + 0.2 * CE3</f>
        <v>20494.400000000001</v>
      </c>
      <c r="CA3" s="5">
        <v>36508</v>
      </c>
      <c r="CB3">
        <v>14728</v>
      </c>
      <c r="CC3">
        <v>11304</v>
      </c>
      <c r="CD3">
        <v>0</v>
      </c>
      <c r="CE3">
        <v>0</v>
      </c>
      <c r="CF3" s="45">
        <f>($BX$8-BZ3)/$BX$8</f>
        <v>4.0074941451990566E-2</v>
      </c>
      <c r="CG3" s="48"/>
      <c r="CH3" s="22"/>
      <c r="CI3" s="6"/>
      <c r="CL3" s="24">
        <f>0.4 * CM3 + 0.4 * CN3 + 0.2 * CQ3</f>
        <v>15616</v>
      </c>
      <c r="CM3" s="29">
        <v>22911</v>
      </c>
      <c r="CN3" s="29">
        <v>16129</v>
      </c>
      <c r="CO3">
        <v>7930</v>
      </c>
      <c r="CP3">
        <v>0</v>
      </c>
      <c r="CQ3">
        <v>0</v>
      </c>
      <c r="CR3" s="45">
        <f>($CJ$8-CL3)/$CJ$8</f>
        <v>0.44361705917981969</v>
      </c>
      <c r="CS3" s="21"/>
      <c r="CT3" s="48"/>
      <c r="CU3" s="22"/>
    </row>
    <row r="4" spans="1:120" hidden="1" x14ac:dyDescent="0.3">
      <c r="A4" s="14" t="s">
        <v>36</v>
      </c>
      <c r="B4" s="23"/>
      <c r="C4" s="23"/>
      <c r="D4" s="24">
        <f t="shared" ref="D4:D7" si="0">0.4 * E4 + 0.4 * F4 + 0.2 * I4</f>
        <v>12515.599999999999</v>
      </c>
      <c r="E4" s="5">
        <v>20741</v>
      </c>
      <c r="F4">
        <v>10548</v>
      </c>
      <c r="G4">
        <v>0</v>
      </c>
      <c r="H4">
        <v>0</v>
      </c>
      <c r="I4" s="6">
        <v>0</v>
      </c>
      <c r="L4" s="45">
        <f t="shared" ref="L4:L7" si="1">($B$8-D4)/$B$8</f>
        <v>7.5247524752475356E-2</v>
      </c>
      <c r="N4" s="46"/>
      <c r="O4" s="6"/>
      <c r="R4" s="24">
        <f t="shared" ref="R4:R7" si="2">0.4 * S4 + 0.4 * T4 + 0.2 *W4</f>
        <v>38995</v>
      </c>
      <c r="S4" s="28">
        <v>76876</v>
      </c>
      <c r="T4">
        <v>20414</v>
      </c>
      <c r="U4">
        <v>253</v>
      </c>
      <c r="V4">
        <v>0</v>
      </c>
      <c r="W4">
        <v>395</v>
      </c>
      <c r="X4" s="45">
        <f t="shared" ref="X4:X6" si="3">($P$8-R4)/$P$8</f>
        <v>0.25795046279381317</v>
      </c>
      <c r="Z4" s="46"/>
      <c r="AA4" s="6"/>
      <c r="AB4" s="6"/>
      <c r="AD4" s="24">
        <f t="shared" ref="AD4:AD5" si="4">0.4 * AE4 + 0.4 * AF4 + 0.2 * AI4</f>
        <v>20072</v>
      </c>
      <c r="AE4" s="5">
        <v>37899</v>
      </c>
      <c r="AF4">
        <v>12281</v>
      </c>
      <c r="AG4">
        <v>12767</v>
      </c>
      <c r="AH4">
        <v>0</v>
      </c>
      <c r="AI4">
        <v>0</v>
      </c>
      <c r="AJ4" s="45">
        <f t="shared" ref="AJ4:AJ6" si="5">($AB$8-AD4)/$AB$8</f>
        <v>0.18076144452426041</v>
      </c>
      <c r="AL4" s="46"/>
      <c r="AM4" s="6"/>
      <c r="AN4" s="6"/>
      <c r="AP4" s="24">
        <f t="shared" ref="AP4:AP7" si="6">0.4 * AQ4 + 0.4 * AR4 + 0.2 * AU4</f>
        <v>26636.800000000003</v>
      </c>
      <c r="AQ4">
        <v>43986</v>
      </c>
      <c r="AR4">
        <v>22606</v>
      </c>
      <c r="AS4">
        <v>0</v>
      </c>
      <c r="AT4">
        <v>0</v>
      </c>
      <c r="AU4" s="6">
        <v>0</v>
      </c>
      <c r="AV4" s="45">
        <f t="shared" ref="AV4:AV7" si="7">($AN$8-AP4)/$AN$8</f>
        <v>7.8260388118373284E-2</v>
      </c>
      <c r="AX4" s="46"/>
      <c r="AY4" s="6"/>
      <c r="AZ4" s="6"/>
      <c r="BB4" s="24">
        <f>0.4 * BC4 + 0.4 * BD4 + 0.2 * BG4</f>
        <v>26736.800000000003</v>
      </c>
      <c r="BC4" s="5">
        <v>52212</v>
      </c>
      <c r="BD4">
        <v>14630</v>
      </c>
      <c r="BE4">
        <v>0</v>
      </c>
      <c r="BF4">
        <v>0</v>
      </c>
      <c r="BG4">
        <v>0</v>
      </c>
      <c r="BH4" s="45">
        <f t="shared" ref="BH4:BH6" si="8">($AZ$8-BB4)/$AZ$8</f>
        <v>5.3014847557519965E-2</v>
      </c>
      <c r="BJ4" s="46"/>
      <c r="BK4" s="6"/>
      <c r="BL4" s="6"/>
      <c r="BN4" s="24">
        <f>0.4 * BO4 + 0.4 * BP4 + 0.2 * BS4</f>
        <v>38274.800000000003</v>
      </c>
      <c r="BO4" s="5">
        <v>80876</v>
      </c>
      <c r="BP4">
        <v>14811</v>
      </c>
      <c r="BQ4">
        <v>12206</v>
      </c>
      <c r="BR4">
        <v>0</v>
      </c>
      <c r="BS4">
        <v>0</v>
      </c>
      <c r="BT4" s="45">
        <f t="shared" ref="BT4:BT7" si="9">($BL$8-BN4)/$BL$8</f>
        <v>6.3260531184837737E-2</v>
      </c>
      <c r="BV4" s="46"/>
      <c r="BW4" s="6"/>
      <c r="BX4" s="6"/>
      <c r="BZ4" s="24">
        <f>0.4 * CA4 + 0.4 * CB4 + 0.2 * CE4</f>
        <v>20664.800000000003</v>
      </c>
      <c r="CA4" s="5">
        <v>36913</v>
      </c>
      <c r="CB4">
        <v>14749</v>
      </c>
      <c r="CC4">
        <v>11283</v>
      </c>
      <c r="CD4">
        <v>0</v>
      </c>
      <c r="CE4">
        <v>0</v>
      </c>
      <c r="CF4" s="45">
        <f t="shared" ref="CF4:CF7" si="10">($BX$8-BZ4)/$BX$8</f>
        <v>3.2093676814988155E-2</v>
      </c>
      <c r="CG4" s="46"/>
      <c r="CH4" s="6"/>
      <c r="CI4" s="6"/>
      <c r="CL4" s="24">
        <f>0.4 * CM4 + 0.4 * CN4 + 0.2 * CQ4</f>
        <v>15736.800000000001</v>
      </c>
      <c r="CM4" s="30">
        <v>23199</v>
      </c>
      <c r="CN4" s="29">
        <v>16143</v>
      </c>
      <c r="CO4">
        <v>9890</v>
      </c>
      <c r="CP4">
        <v>0</v>
      </c>
      <c r="CQ4">
        <v>0</v>
      </c>
      <c r="CR4" s="45">
        <f t="shared" ref="CR4:CR7" si="11">($CJ$8-CL4)/$CJ$8</f>
        <v>0.4393130722913029</v>
      </c>
      <c r="CT4" s="46"/>
      <c r="CU4" s="6"/>
    </row>
    <row r="5" spans="1:120" hidden="1" x14ac:dyDescent="0.3">
      <c r="A5" s="14" t="s">
        <v>36</v>
      </c>
      <c r="B5" s="23"/>
      <c r="C5" s="23"/>
      <c r="D5" s="24">
        <f t="shared" si="0"/>
        <v>12374.400000000001</v>
      </c>
      <c r="E5" s="5">
        <v>20587</v>
      </c>
      <c r="F5">
        <v>10349</v>
      </c>
      <c r="G5">
        <v>0</v>
      </c>
      <c r="H5">
        <v>0</v>
      </c>
      <c r="I5" s="6">
        <v>0</v>
      </c>
      <c r="L5" s="45">
        <f t="shared" si="1"/>
        <v>8.5680508349342294E-2</v>
      </c>
      <c r="N5" s="46"/>
      <c r="O5" s="6"/>
      <c r="R5" s="24">
        <f t="shared" si="2"/>
        <v>39028</v>
      </c>
      <c r="S5" s="28">
        <v>77193</v>
      </c>
      <c r="T5">
        <v>20261</v>
      </c>
      <c r="U5">
        <v>2643</v>
      </c>
      <c r="V5">
        <v>0</v>
      </c>
      <c r="W5">
        <v>232</v>
      </c>
      <c r="X5" s="45">
        <f t="shared" si="3"/>
        <v>0.25732249421507736</v>
      </c>
      <c r="Z5" s="46"/>
      <c r="AA5" s="6"/>
      <c r="AB5" s="6"/>
      <c r="AD5" s="24">
        <f t="shared" si="4"/>
        <v>19962.400000000001</v>
      </c>
      <c r="AE5" s="5">
        <v>37680</v>
      </c>
      <c r="AF5">
        <v>12226</v>
      </c>
      <c r="AG5">
        <v>12671</v>
      </c>
      <c r="AH5">
        <v>0</v>
      </c>
      <c r="AI5">
        <v>0</v>
      </c>
      <c r="AJ5" s="45">
        <f t="shared" si="5"/>
        <v>0.1852347678443152</v>
      </c>
      <c r="AL5" s="46"/>
      <c r="AM5" s="6"/>
      <c r="AN5" s="6"/>
      <c r="AP5" s="24">
        <f t="shared" si="6"/>
        <v>26763.599999999999</v>
      </c>
      <c r="AQ5">
        <v>44257</v>
      </c>
      <c r="AR5">
        <v>22652</v>
      </c>
      <c r="AS5">
        <v>15102</v>
      </c>
      <c r="AT5">
        <v>0</v>
      </c>
      <c r="AU5" s="6">
        <v>0</v>
      </c>
      <c r="AV5" s="45">
        <f t="shared" si="7"/>
        <v>7.3872601943360289E-2</v>
      </c>
      <c r="AX5" s="46"/>
      <c r="AY5" s="6"/>
      <c r="AZ5" s="6"/>
      <c r="BB5" s="24">
        <f t="shared" ref="BB5:BB7" si="12">0.4 * BC5 + 0.4 * BD5 + 0.2 * BG5</f>
        <v>26760.799999999999</v>
      </c>
      <c r="BC5" s="5">
        <v>52230</v>
      </c>
      <c r="BD5">
        <v>14672</v>
      </c>
      <c r="BE5">
        <v>0</v>
      </c>
      <c r="BF5">
        <v>0</v>
      </c>
      <c r="BG5">
        <v>0</v>
      </c>
      <c r="BH5" s="45">
        <f t="shared" si="8"/>
        <v>5.2164796554459908E-2</v>
      </c>
      <c r="BJ5" s="46"/>
      <c r="BK5" s="6"/>
      <c r="BL5" s="6"/>
      <c r="BN5" s="24">
        <f t="shared" ref="BN5:BN7" si="13">0.4 * BO5 + 0.4 * BP5 + 0.2 * BS5</f>
        <v>38273.600000000006</v>
      </c>
      <c r="BO5" s="5">
        <v>80841</v>
      </c>
      <c r="BP5">
        <v>14843</v>
      </c>
      <c r="BQ5">
        <v>12898</v>
      </c>
      <c r="BR5">
        <v>0</v>
      </c>
      <c r="BS5">
        <v>0</v>
      </c>
      <c r="BT5" s="45">
        <f t="shared" si="9"/>
        <v>6.3289900047968972E-2</v>
      </c>
      <c r="BV5" s="46"/>
      <c r="BW5" s="6"/>
      <c r="BX5" s="6"/>
      <c r="BZ5" s="24">
        <f t="shared" ref="BZ5:BZ7" si="14">0.4 * CA5 + 0.4 * CB5 + 0.2 * CE5</f>
        <v>20584.400000000001</v>
      </c>
      <c r="CA5" s="5">
        <v>36723</v>
      </c>
      <c r="CB5">
        <v>14738</v>
      </c>
      <c r="CC5">
        <v>11318</v>
      </c>
      <c r="CD5">
        <v>0</v>
      </c>
      <c r="CE5">
        <v>0</v>
      </c>
      <c r="CF5" s="45">
        <f t="shared" si="10"/>
        <v>3.5859484777517499E-2</v>
      </c>
      <c r="CG5" s="46"/>
      <c r="CH5" s="6"/>
      <c r="CI5" s="6"/>
      <c r="CL5" s="24">
        <f t="shared" ref="CL5:CL7" si="15">0.4 * CM5 + 0.4 * CN5 + 0.2 * CQ5</f>
        <v>15771.2</v>
      </c>
      <c r="CM5" s="29">
        <v>23281</v>
      </c>
      <c r="CN5" s="30">
        <v>16147</v>
      </c>
      <c r="CO5">
        <v>11189</v>
      </c>
      <c r="CP5">
        <v>0</v>
      </c>
      <c r="CQ5">
        <v>0</v>
      </c>
      <c r="CR5" s="45">
        <f t="shared" si="11"/>
        <v>0.43808743364093061</v>
      </c>
      <c r="CT5" s="46"/>
      <c r="CU5" s="6"/>
    </row>
    <row r="6" spans="1:120" hidden="1" x14ac:dyDescent="0.3">
      <c r="A6" s="14" t="s">
        <v>36</v>
      </c>
      <c r="B6" s="23"/>
      <c r="C6" s="23"/>
      <c r="D6" s="24">
        <f t="shared" si="0"/>
        <v>12426.400000000001</v>
      </c>
      <c r="E6" s="5">
        <v>20547</v>
      </c>
      <c r="F6">
        <v>10519</v>
      </c>
      <c r="G6">
        <v>0</v>
      </c>
      <c r="H6">
        <v>0</v>
      </c>
      <c r="I6" s="6">
        <v>0</v>
      </c>
      <c r="L6" s="45">
        <f t="shared" si="1"/>
        <v>8.1838333087039944E-2</v>
      </c>
      <c r="N6" s="46"/>
      <c r="O6" s="6"/>
      <c r="R6" s="24">
        <f t="shared" si="2"/>
        <v>38343.600000000006</v>
      </c>
      <c r="S6" s="28">
        <v>75448</v>
      </c>
      <c r="T6">
        <v>20194</v>
      </c>
      <c r="U6">
        <v>1105</v>
      </c>
      <c r="V6">
        <v>0</v>
      </c>
      <c r="W6">
        <v>434</v>
      </c>
      <c r="X6" s="45">
        <f t="shared" si="3"/>
        <v>0.27034618195104121</v>
      </c>
      <c r="Z6" s="46"/>
      <c r="AA6" s="6"/>
      <c r="AB6" s="6"/>
      <c r="AD6" s="24">
        <f>0.4 * AE6 + 0.4 * AF6 + 0.2 * AI6</f>
        <v>20161.599999999999</v>
      </c>
      <c r="AE6" s="5">
        <v>38150</v>
      </c>
      <c r="AF6">
        <v>12254</v>
      </c>
      <c r="AG6">
        <v>11141</v>
      </c>
      <c r="AH6">
        <v>0</v>
      </c>
      <c r="AI6">
        <v>0</v>
      </c>
      <c r="AJ6" s="45">
        <f t="shared" si="5"/>
        <v>0.17710442108012803</v>
      </c>
      <c r="AL6" s="46"/>
      <c r="AM6" s="6"/>
      <c r="AN6" s="6"/>
      <c r="AP6" s="24">
        <f t="shared" si="6"/>
        <v>26721.200000000004</v>
      </c>
      <c r="AQ6">
        <v>44156</v>
      </c>
      <c r="AR6">
        <v>22647</v>
      </c>
      <c r="AS6">
        <v>0</v>
      </c>
      <c r="AT6">
        <v>0</v>
      </c>
      <c r="AU6" s="6">
        <v>0</v>
      </c>
      <c r="AV6" s="45">
        <f t="shared" si="7"/>
        <v>7.5339811200619999E-2</v>
      </c>
      <c r="AX6" s="46"/>
      <c r="AY6" s="6"/>
      <c r="AZ6" s="6"/>
      <c r="BB6" s="24">
        <f t="shared" si="12"/>
        <v>26586</v>
      </c>
      <c r="BC6" s="5">
        <v>51740</v>
      </c>
      <c r="BD6">
        <v>14725</v>
      </c>
      <c r="BE6">
        <v>0</v>
      </c>
      <c r="BF6">
        <v>0</v>
      </c>
      <c r="BG6">
        <v>0</v>
      </c>
      <c r="BH6" s="45">
        <f t="shared" si="8"/>
        <v>5.8356001360081559E-2</v>
      </c>
      <c r="BJ6" s="46"/>
      <c r="BK6" s="6"/>
      <c r="BL6" s="6"/>
      <c r="BN6" s="24">
        <f t="shared" si="13"/>
        <v>38202</v>
      </c>
      <c r="BO6" s="5">
        <v>80673</v>
      </c>
      <c r="BP6">
        <v>14832</v>
      </c>
      <c r="BQ6">
        <v>12211</v>
      </c>
      <c r="BR6">
        <v>0</v>
      </c>
      <c r="BS6">
        <v>0</v>
      </c>
      <c r="BT6" s="45">
        <f t="shared" si="9"/>
        <v>6.5042242214803828E-2</v>
      </c>
      <c r="BV6" s="46"/>
      <c r="BW6" s="6"/>
      <c r="BX6" s="6"/>
      <c r="BZ6" s="24">
        <f t="shared" si="14"/>
        <v>20584.400000000001</v>
      </c>
      <c r="CA6" s="5">
        <v>36723</v>
      </c>
      <c r="CB6">
        <v>14738</v>
      </c>
      <c r="CC6">
        <v>11318</v>
      </c>
      <c r="CD6">
        <v>0</v>
      </c>
      <c r="CE6">
        <v>0</v>
      </c>
      <c r="CF6" s="45">
        <f t="shared" si="10"/>
        <v>3.5859484777517499E-2</v>
      </c>
      <c r="CG6" s="46"/>
      <c r="CH6" s="6"/>
      <c r="CI6" s="6"/>
      <c r="CL6" s="24">
        <f t="shared" si="15"/>
        <v>15771.2</v>
      </c>
      <c r="CM6" s="29">
        <v>23281</v>
      </c>
      <c r="CN6" s="30">
        <v>16147</v>
      </c>
      <c r="CO6">
        <v>10163</v>
      </c>
      <c r="CP6">
        <v>0</v>
      </c>
      <c r="CQ6">
        <v>0</v>
      </c>
      <c r="CR6" s="45">
        <f t="shared" si="11"/>
        <v>0.43808743364093061</v>
      </c>
      <c r="CT6" s="46"/>
      <c r="CU6" s="6"/>
    </row>
    <row r="7" spans="1:120" hidden="1" x14ac:dyDescent="0.3">
      <c r="A7" s="14" t="s">
        <v>36</v>
      </c>
      <c r="B7" s="23"/>
      <c r="C7" s="23"/>
      <c r="D7" s="24">
        <f t="shared" si="0"/>
        <v>12858</v>
      </c>
      <c r="E7" s="5">
        <v>21656</v>
      </c>
      <c r="F7">
        <v>10489</v>
      </c>
      <c r="G7">
        <v>0</v>
      </c>
      <c r="H7">
        <v>0</v>
      </c>
      <c r="I7" s="6">
        <v>0</v>
      </c>
      <c r="L7" s="45">
        <f t="shared" si="1"/>
        <v>4.9948278409930547E-2</v>
      </c>
      <c r="N7" s="46"/>
      <c r="O7" s="6"/>
      <c r="R7" s="24">
        <f t="shared" si="2"/>
        <v>38092.6</v>
      </c>
      <c r="S7" s="28">
        <v>74740</v>
      </c>
      <c r="T7">
        <v>20163</v>
      </c>
      <c r="U7">
        <v>695</v>
      </c>
      <c r="V7">
        <v>0</v>
      </c>
      <c r="W7">
        <v>657</v>
      </c>
      <c r="X7" s="45">
        <f>($P$8-R7)/$P$8</f>
        <v>0.27512254901960786</v>
      </c>
      <c r="Z7" s="46"/>
      <c r="AA7" s="6"/>
      <c r="AB7" s="6"/>
      <c r="AD7" s="24">
        <f t="shared" ref="AD7" si="16">0.4 * AE7 + 0.4 * AF7 + 0.2 * AI7</f>
        <v>20150.800000000003</v>
      </c>
      <c r="AE7" s="5">
        <v>38059</v>
      </c>
      <c r="AF7">
        <v>12318</v>
      </c>
      <c r="AG7">
        <v>13202</v>
      </c>
      <c r="AH7">
        <v>0</v>
      </c>
      <c r="AI7">
        <v>0</v>
      </c>
      <c r="AJ7" s="45">
        <f>($AB$8-AD7)/$AB$8</f>
        <v>0.17754522301312595</v>
      </c>
      <c r="AL7" s="46"/>
      <c r="AM7" s="6"/>
      <c r="AN7" s="6"/>
      <c r="AP7" s="24">
        <f t="shared" si="6"/>
        <v>26860.800000000003</v>
      </c>
      <c r="AQ7">
        <v>44595</v>
      </c>
      <c r="AR7">
        <v>22557</v>
      </c>
      <c r="AS7">
        <v>0</v>
      </c>
      <c r="AT7">
        <v>0</v>
      </c>
      <c r="AU7" s="6">
        <v>0</v>
      </c>
      <c r="AV7" s="45">
        <f t="shared" si="7"/>
        <v>7.0509093929075603E-2</v>
      </c>
      <c r="AX7" s="46"/>
      <c r="AY7" s="6"/>
      <c r="AZ7" s="6"/>
      <c r="BB7" s="24">
        <f t="shared" si="12"/>
        <v>26692.799999999999</v>
      </c>
      <c r="BC7" s="5">
        <v>52090</v>
      </c>
      <c r="BD7">
        <v>14642</v>
      </c>
      <c r="BE7">
        <v>0</v>
      </c>
      <c r="BF7">
        <v>0</v>
      </c>
      <c r="BG7">
        <v>0</v>
      </c>
      <c r="BH7" s="45">
        <f>($AZ$8-BB7)/$AZ$8</f>
        <v>5.4573274396463763E-2</v>
      </c>
      <c r="BJ7" s="46"/>
      <c r="BK7" s="6"/>
      <c r="BL7" s="6"/>
      <c r="BN7" s="24">
        <f t="shared" si="13"/>
        <v>38188.400000000001</v>
      </c>
      <c r="BO7" s="5">
        <v>80640</v>
      </c>
      <c r="BP7">
        <v>14831</v>
      </c>
      <c r="BQ7">
        <v>12073</v>
      </c>
      <c r="BR7">
        <v>0</v>
      </c>
      <c r="BS7">
        <v>0</v>
      </c>
      <c r="BT7" s="45">
        <f t="shared" si="9"/>
        <v>6.5375089330291958E-2</v>
      </c>
      <c r="BV7" s="46"/>
      <c r="BW7" s="6"/>
      <c r="BX7" s="6"/>
      <c r="BZ7" s="24">
        <f t="shared" si="14"/>
        <v>20589.600000000002</v>
      </c>
      <c r="CA7" s="5">
        <v>36736</v>
      </c>
      <c r="CB7">
        <v>14738</v>
      </c>
      <c r="CC7">
        <v>11299</v>
      </c>
      <c r="CD7">
        <v>0</v>
      </c>
      <c r="CE7">
        <v>0</v>
      </c>
      <c r="CF7" s="45">
        <f t="shared" si="10"/>
        <v>3.5615925058547909E-2</v>
      </c>
      <c r="CG7" s="46"/>
      <c r="CH7" s="6"/>
      <c r="CI7" s="6"/>
      <c r="CL7" s="24">
        <f t="shared" si="15"/>
        <v>15563.2</v>
      </c>
      <c r="CM7" s="29">
        <v>22786</v>
      </c>
      <c r="CN7" s="29">
        <v>16122</v>
      </c>
      <c r="CO7">
        <v>9802</v>
      </c>
      <c r="CP7">
        <v>0</v>
      </c>
      <c r="CQ7">
        <v>0</v>
      </c>
      <c r="CR7" s="45">
        <f t="shared" si="11"/>
        <v>0.44549827199201908</v>
      </c>
      <c r="CT7" s="46"/>
      <c r="CU7" s="6"/>
    </row>
    <row r="8" spans="1:120" s="4" customFormat="1" x14ac:dyDescent="0.3">
      <c r="A8" s="15" t="s">
        <v>36</v>
      </c>
      <c r="B8" s="41" t="s">
        <v>41</v>
      </c>
      <c r="C8" s="41">
        <v>22829</v>
      </c>
      <c r="D8" s="25">
        <v>12509.76</v>
      </c>
      <c r="E8" s="7">
        <v>20823.599999999999</v>
      </c>
      <c r="F8" s="4">
        <v>10450.799999999999</v>
      </c>
      <c r="G8" s="4">
        <v>0</v>
      </c>
      <c r="H8" s="4">
        <v>0</v>
      </c>
      <c r="I8" s="4">
        <v>0</v>
      </c>
      <c r="J8" s="27">
        <v>0.14949621174229866</v>
      </c>
      <c r="K8" s="27">
        <v>5.78110036815102E-3</v>
      </c>
      <c r="L8" s="27">
        <v>7.5679030589626106E-2</v>
      </c>
      <c r="M8" s="27">
        <v>1.500211590935795E-2</v>
      </c>
      <c r="N8" s="73">
        <v>8.7844408427876886E-2</v>
      </c>
      <c r="O8" s="27" t="e">
        <v>#DIV/0!</v>
      </c>
      <c r="P8">
        <v>52550.400000000001</v>
      </c>
      <c r="Q8" s="26">
        <v>81057</v>
      </c>
      <c r="R8" s="49">
        <v>38574.000000000007</v>
      </c>
      <c r="S8">
        <v>75904.800000000003</v>
      </c>
      <c r="T8">
        <v>20244.8</v>
      </c>
      <c r="U8">
        <v>939.2</v>
      </c>
      <c r="V8">
        <v>0</v>
      </c>
      <c r="W8">
        <v>570.79999999999995</v>
      </c>
      <c r="X8" s="27">
        <v>0.26596181951041276</v>
      </c>
      <c r="Y8" s="27">
        <v>7.9310476417770118E-3</v>
      </c>
      <c r="Z8" s="73">
        <v>6.3562678115400242E-2</v>
      </c>
      <c r="AA8" s="27" t="e">
        <v>#DIV/0!</v>
      </c>
      <c r="AB8">
        <v>24500.799999999999</v>
      </c>
      <c r="AC8">
        <v>48120</v>
      </c>
      <c r="AD8" s="49">
        <v>20061.84</v>
      </c>
      <c r="AE8">
        <v>37893.599999999999</v>
      </c>
      <c r="AF8">
        <v>12261</v>
      </c>
      <c r="AG8">
        <v>12490.4</v>
      </c>
      <c r="AH8">
        <v>0</v>
      </c>
      <c r="AI8">
        <v>0</v>
      </c>
      <c r="AJ8" s="27">
        <v>0.181176124861229</v>
      </c>
      <c r="AK8" s="27">
        <v>3.9648248833261271E-3</v>
      </c>
      <c r="AL8" s="73">
        <v>0.21251870324189528</v>
      </c>
      <c r="AM8" s="27" t="e">
        <v>#DIV/0!</v>
      </c>
      <c r="AN8">
        <v>28898.400000000001</v>
      </c>
      <c r="AO8">
        <v>48676</v>
      </c>
      <c r="AP8" s="49">
        <v>26653.68</v>
      </c>
      <c r="AQ8">
        <v>44045.2</v>
      </c>
      <c r="AR8">
        <v>22589</v>
      </c>
      <c r="AS8">
        <v>7051.2</v>
      </c>
      <c r="AT8">
        <v>0</v>
      </c>
      <c r="AU8">
        <v>0</v>
      </c>
      <c r="AV8" s="27">
        <v>7.7676272734822721E-2</v>
      </c>
      <c r="AW8" s="27">
        <v>7.6406203420253307E-3</v>
      </c>
      <c r="AX8" s="73">
        <v>9.5135179554606028E-2</v>
      </c>
      <c r="AY8" s="27" t="e">
        <v>#DIV/0!</v>
      </c>
      <c r="AZ8">
        <v>28233.599999999999</v>
      </c>
      <c r="BA8">
        <v>55474</v>
      </c>
      <c r="BB8" s="49">
        <v>26701.840000000004</v>
      </c>
      <c r="BC8">
        <v>52089</v>
      </c>
      <c r="BD8">
        <v>14665.6</v>
      </c>
      <c r="BE8">
        <v>0</v>
      </c>
      <c r="BF8">
        <v>0</v>
      </c>
      <c r="BG8">
        <v>0</v>
      </c>
      <c r="BH8" s="27">
        <v>5.4253088518644271E-2</v>
      </c>
      <c r="BI8" s="27">
        <v>2.4511769278616458E-3</v>
      </c>
      <c r="BJ8" s="73">
        <v>6.101957673865234E-2</v>
      </c>
      <c r="BK8" s="27" t="e">
        <v>#DIV/0!</v>
      </c>
      <c r="BL8">
        <v>40859.599999999999</v>
      </c>
      <c r="BM8">
        <v>86423</v>
      </c>
      <c r="BN8" s="49">
        <v>38228.160000000003</v>
      </c>
      <c r="BO8">
        <v>80740.600000000006</v>
      </c>
      <c r="BP8">
        <v>14829.8</v>
      </c>
      <c r="BQ8">
        <v>12337.2</v>
      </c>
      <c r="BR8">
        <v>0</v>
      </c>
      <c r="BS8">
        <v>0</v>
      </c>
      <c r="BT8" s="27">
        <v>6.4402000998541223E-2</v>
      </c>
      <c r="BU8" s="27">
        <v>1.037598235259226E-3</v>
      </c>
      <c r="BV8" s="73">
        <v>6.5751015354708744E-2</v>
      </c>
      <c r="BW8" s="27" t="e">
        <v>#DIV/0!</v>
      </c>
      <c r="BX8">
        <v>21350</v>
      </c>
      <c r="BY8">
        <v>38534</v>
      </c>
      <c r="BZ8" s="49">
        <v>20583.52</v>
      </c>
      <c r="CA8">
        <v>36720.6</v>
      </c>
      <c r="CB8">
        <v>14738.2</v>
      </c>
      <c r="CC8">
        <v>11304.4</v>
      </c>
      <c r="CD8">
        <v>0</v>
      </c>
      <c r="CE8">
        <v>0</v>
      </c>
      <c r="CF8" s="27">
        <v>3.5900702576112394E-2</v>
      </c>
      <c r="CG8" s="27">
        <v>4.7985626862805898E-3</v>
      </c>
      <c r="CH8" s="27" t="e">
        <v>#DIV/0!</v>
      </c>
      <c r="CI8">
        <v>18539.2</v>
      </c>
      <c r="CJ8">
        <v>28067</v>
      </c>
      <c r="CK8">
        <v>28067</v>
      </c>
      <c r="CL8" s="49">
        <v>15691.679999999998</v>
      </c>
      <c r="CM8">
        <v>23091.599999999999</v>
      </c>
      <c r="CN8">
        <v>16137.6</v>
      </c>
      <c r="CO8">
        <v>9794.7999999999993</v>
      </c>
      <c r="CP8">
        <v>0</v>
      </c>
      <c r="CQ8">
        <v>0</v>
      </c>
      <c r="CR8" s="27">
        <v>0.44092065414900067</v>
      </c>
      <c r="CS8" s="27">
        <v>3.4228563193202835E-3</v>
      </c>
      <c r="CT8" s="73">
        <v>0.17726867851925754</v>
      </c>
      <c r="CU8" s="27" t="e">
        <v>#DIV/0!</v>
      </c>
      <c r="CV8"/>
      <c r="CW8" s="27">
        <v>0.14949621174229866</v>
      </c>
      <c r="CX8" s="27">
        <v>5.78110036815102E-3</v>
      </c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</row>
    <row r="9" spans="1:120" hidden="1" x14ac:dyDescent="0.3">
      <c r="A9" s="14" t="s">
        <v>37</v>
      </c>
      <c r="B9" s="23"/>
      <c r="C9" s="23"/>
      <c r="D9" s="24">
        <v>12390</v>
      </c>
      <c r="E9" s="5">
        <v>20595</v>
      </c>
      <c r="F9">
        <v>10380</v>
      </c>
      <c r="G9">
        <v>0</v>
      </c>
      <c r="H9">
        <v>0</v>
      </c>
      <c r="I9">
        <v>0</v>
      </c>
      <c r="J9" s="27">
        <v>0.15362211861881064</v>
      </c>
      <c r="K9" s="27">
        <v>0</v>
      </c>
      <c r="L9" s="27">
        <v>8.4534619959953039E-2</v>
      </c>
      <c r="N9" s="73"/>
      <c r="R9" s="49">
        <v>38101.200000000004</v>
      </c>
      <c r="S9" s="42">
        <v>74985</v>
      </c>
      <c r="T9">
        <v>20181</v>
      </c>
      <c r="U9">
        <v>717</v>
      </c>
      <c r="V9">
        <v>0</v>
      </c>
      <c r="W9">
        <v>174</v>
      </c>
      <c r="X9" s="27">
        <v>0.27497269340112723</v>
      </c>
      <c r="Z9" s="73"/>
      <c r="AD9" s="49">
        <v>19962.400000000001</v>
      </c>
      <c r="AE9">
        <v>37680</v>
      </c>
      <c r="AF9">
        <v>12226</v>
      </c>
      <c r="AG9">
        <v>12767</v>
      </c>
      <c r="AH9">
        <v>0</v>
      </c>
      <c r="AI9">
        <v>0</v>
      </c>
      <c r="AJ9" s="27">
        <v>0.18526802112497848</v>
      </c>
      <c r="AL9" s="73"/>
      <c r="AP9" s="49">
        <v>26636.800000000003</v>
      </c>
      <c r="AQ9">
        <v>43986</v>
      </c>
      <c r="AR9">
        <v>22606</v>
      </c>
      <c r="AS9">
        <v>25143</v>
      </c>
      <c r="AT9">
        <v>0</v>
      </c>
      <c r="AU9">
        <v>0</v>
      </c>
      <c r="AV9" s="27">
        <v>7.8292282884765724E-2</v>
      </c>
      <c r="AX9" s="73"/>
      <c r="BB9" s="49">
        <v>26586</v>
      </c>
      <c r="BC9">
        <v>51740</v>
      </c>
      <c r="BD9">
        <v>14725</v>
      </c>
      <c r="BE9">
        <v>0</v>
      </c>
      <c r="BF9">
        <v>0</v>
      </c>
      <c r="BG9">
        <v>0</v>
      </c>
      <c r="BH9" s="27">
        <v>5.8389352071571712E-2</v>
      </c>
      <c r="BJ9" s="73"/>
      <c r="BN9" s="49">
        <v>38189.200000000004</v>
      </c>
      <c r="BO9">
        <v>80641</v>
      </c>
      <c r="BP9">
        <v>14832</v>
      </c>
      <c r="BQ9">
        <v>11982</v>
      </c>
      <c r="BR9">
        <v>0</v>
      </c>
      <c r="BS9">
        <v>0</v>
      </c>
      <c r="BT9" s="27">
        <v>6.5378384066802603E-2</v>
      </c>
      <c r="BV9" s="73"/>
      <c r="BZ9" s="49">
        <v>20584.400000000001</v>
      </c>
      <c r="CA9">
        <v>36723</v>
      </c>
      <c r="CB9">
        <v>14738</v>
      </c>
      <c r="CC9">
        <v>11299</v>
      </c>
      <c r="CD9">
        <v>0</v>
      </c>
      <c r="CE9">
        <v>0</v>
      </c>
      <c r="CF9" s="27">
        <v>3.5859484777517499E-2</v>
      </c>
      <c r="CL9" s="49">
        <v>15541.2</v>
      </c>
      <c r="CM9" s="29">
        <v>22733</v>
      </c>
      <c r="CN9" s="29">
        <v>16120</v>
      </c>
      <c r="CO9">
        <v>9563</v>
      </c>
      <c r="CP9">
        <v>0</v>
      </c>
      <c r="CQ9">
        <v>0</v>
      </c>
      <c r="CR9" s="27">
        <v>0.44628211066376883</v>
      </c>
      <c r="CT9" s="73"/>
      <c r="CW9" s="27">
        <v>0.15362211861881064</v>
      </c>
      <c r="CX9" s="27">
        <v>0</v>
      </c>
    </row>
    <row r="10" spans="1:120" hidden="1" x14ac:dyDescent="0.3">
      <c r="A10" s="14" t="s">
        <v>37</v>
      </c>
      <c r="B10" s="23"/>
      <c r="C10" s="23"/>
      <c r="D10" s="24">
        <v>12798</v>
      </c>
      <c r="E10" s="5">
        <v>21632</v>
      </c>
      <c r="F10">
        <v>10363</v>
      </c>
      <c r="G10">
        <v>0</v>
      </c>
      <c r="H10">
        <v>0</v>
      </c>
      <c r="I10">
        <v>0</v>
      </c>
      <c r="J10" s="27">
        <v>0.14833294876959635</v>
      </c>
      <c r="K10" s="27">
        <v>0</v>
      </c>
      <c r="L10" s="27">
        <v>5.4388544491321945E-2</v>
      </c>
      <c r="N10" s="73"/>
      <c r="R10" s="49">
        <v>38358.000000000007</v>
      </c>
      <c r="S10" s="42">
        <v>75166</v>
      </c>
      <c r="T10">
        <v>20148</v>
      </c>
      <c r="U10">
        <v>0</v>
      </c>
      <c r="V10">
        <v>0</v>
      </c>
      <c r="W10">
        <v>1162</v>
      </c>
      <c r="X10" s="27">
        <v>0.27008604908717931</v>
      </c>
      <c r="Z10" s="73"/>
      <c r="AD10" s="49">
        <v>19962.400000000001</v>
      </c>
      <c r="AE10">
        <v>37680</v>
      </c>
      <c r="AF10">
        <v>12226</v>
      </c>
      <c r="AG10">
        <v>12899</v>
      </c>
      <c r="AH10">
        <v>0</v>
      </c>
      <c r="AI10">
        <v>0</v>
      </c>
      <c r="AJ10" s="27">
        <v>0.18526802112497848</v>
      </c>
      <c r="AL10" s="73"/>
      <c r="AP10" s="49">
        <v>26677.600000000002</v>
      </c>
      <c r="AQ10">
        <v>44069</v>
      </c>
      <c r="AR10">
        <v>22625</v>
      </c>
      <c r="AS10">
        <v>15129</v>
      </c>
      <c r="AT10">
        <v>0</v>
      </c>
      <c r="AU10">
        <v>0</v>
      </c>
      <c r="AV10" s="27">
        <v>7.6880488868280972E-2</v>
      </c>
      <c r="AX10" s="73"/>
      <c r="BB10" s="49">
        <v>26732.800000000003</v>
      </c>
      <c r="BC10">
        <v>52173</v>
      </c>
      <c r="BD10">
        <v>14659</v>
      </c>
      <c r="BE10">
        <v>0</v>
      </c>
      <c r="BF10">
        <v>0</v>
      </c>
      <c r="BG10">
        <v>0</v>
      </c>
      <c r="BH10" s="27">
        <v>5.3190057588915575E-2</v>
      </c>
      <c r="BJ10" s="73"/>
      <c r="BN10" s="49">
        <v>38202</v>
      </c>
      <c r="BO10">
        <v>80673</v>
      </c>
      <c r="BP10">
        <v>14832</v>
      </c>
      <c r="BQ10">
        <v>12211</v>
      </c>
      <c r="BR10">
        <v>0</v>
      </c>
      <c r="BS10">
        <v>0</v>
      </c>
      <c r="BT10" s="27">
        <v>6.5065123860148857E-2</v>
      </c>
      <c r="BV10" s="73"/>
      <c r="BZ10" s="49">
        <v>20584.400000000001</v>
      </c>
      <c r="CA10">
        <v>36723</v>
      </c>
      <c r="CB10">
        <v>14738</v>
      </c>
      <c r="CC10">
        <v>11318</v>
      </c>
      <c r="CD10">
        <v>0</v>
      </c>
      <c r="CE10">
        <v>0</v>
      </c>
      <c r="CF10" s="27">
        <v>3.5859484777517499E-2</v>
      </c>
      <c r="CL10" s="49">
        <v>15551.2</v>
      </c>
      <c r="CM10" s="29">
        <v>22757</v>
      </c>
      <c r="CN10" s="29">
        <v>16121</v>
      </c>
      <c r="CO10">
        <v>10216</v>
      </c>
      <c r="CP10">
        <v>0</v>
      </c>
      <c r="CQ10">
        <v>0</v>
      </c>
      <c r="CR10" s="27">
        <v>0.44592582035842804</v>
      </c>
      <c r="CT10" s="73"/>
      <c r="CW10" s="27">
        <v>0.14833294876959635</v>
      </c>
      <c r="CX10" s="27">
        <v>0</v>
      </c>
    </row>
    <row r="11" spans="1:120" hidden="1" x14ac:dyDescent="0.3">
      <c r="A11" s="14" t="s">
        <v>37</v>
      </c>
      <c r="B11" s="23"/>
      <c r="C11" s="23"/>
      <c r="D11" s="24">
        <v>12390.8</v>
      </c>
      <c r="E11" s="5">
        <v>20621</v>
      </c>
      <c r="F11">
        <v>10356</v>
      </c>
      <c r="G11">
        <v>0</v>
      </c>
      <c r="H11">
        <v>0</v>
      </c>
      <c r="I11">
        <v>0</v>
      </c>
      <c r="J11" s="27">
        <v>0.15344866823564593</v>
      </c>
      <c r="K11" s="27">
        <v>0</v>
      </c>
      <c r="L11" s="27">
        <v>8.4475510008053811E-2</v>
      </c>
      <c r="N11" s="73"/>
      <c r="R11" s="49">
        <v>37925.800000000003</v>
      </c>
      <c r="S11" s="42">
        <v>74109</v>
      </c>
      <c r="T11">
        <v>20034</v>
      </c>
      <c r="U11">
        <v>609</v>
      </c>
      <c r="V11">
        <v>0</v>
      </c>
      <c r="W11">
        <v>1343</v>
      </c>
      <c r="X11" s="27">
        <v>0.27831037802989073</v>
      </c>
      <c r="Z11" s="73"/>
      <c r="AD11" s="49">
        <v>20068</v>
      </c>
      <c r="AE11">
        <v>37906</v>
      </c>
      <c r="AF11">
        <v>12264</v>
      </c>
      <c r="AG11">
        <v>12833</v>
      </c>
      <c r="AH11">
        <v>0</v>
      </c>
      <c r="AI11">
        <v>0</v>
      </c>
      <c r="AJ11" s="27">
        <v>0.18095813368813718</v>
      </c>
      <c r="AL11" s="73"/>
      <c r="AP11" s="49">
        <v>26636.800000000003</v>
      </c>
      <c r="AQ11">
        <v>43986</v>
      </c>
      <c r="AR11">
        <v>22606</v>
      </c>
      <c r="AS11">
        <v>0</v>
      </c>
      <c r="AT11">
        <v>0</v>
      </c>
      <c r="AU11">
        <v>0</v>
      </c>
      <c r="AV11" s="27">
        <v>7.8292282884765724E-2</v>
      </c>
      <c r="AX11" s="73"/>
      <c r="BB11" s="49">
        <v>26586</v>
      </c>
      <c r="BC11">
        <v>51740</v>
      </c>
      <c r="BD11">
        <v>14725</v>
      </c>
      <c r="BE11">
        <v>0</v>
      </c>
      <c r="BF11">
        <v>0</v>
      </c>
      <c r="BG11">
        <v>0</v>
      </c>
      <c r="BH11" s="27">
        <v>5.8389352071571712E-2</v>
      </c>
      <c r="BJ11" s="73"/>
      <c r="BN11" s="49">
        <v>38189.200000000004</v>
      </c>
      <c r="BO11">
        <v>80641</v>
      </c>
      <c r="BP11">
        <v>14832</v>
      </c>
      <c r="BQ11">
        <v>12355</v>
      </c>
      <c r="BR11">
        <v>0</v>
      </c>
      <c r="BS11">
        <v>0</v>
      </c>
      <c r="BT11" s="27">
        <v>6.5378384066802603E-2</v>
      </c>
      <c r="BV11" s="73"/>
      <c r="BZ11" s="49">
        <v>20584.400000000001</v>
      </c>
      <c r="CA11">
        <v>36723</v>
      </c>
      <c r="CB11">
        <v>14738</v>
      </c>
      <c r="CC11">
        <v>11299</v>
      </c>
      <c r="CD11">
        <v>0</v>
      </c>
      <c r="CE11">
        <v>0</v>
      </c>
      <c r="CF11" s="27">
        <v>3.5859484777517499E-2</v>
      </c>
      <c r="CL11" s="49">
        <v>15551.2</v>
      </c>
      <c r="CM11" s="29">
        <v>22757</v>
      </c>
      <c r="CN11" s="29">
        <v>16121</v>
      </c>
      <c r="CO11">
        <v>10236</v>
      </c>
      <c r="CP11">
        <v>0</v>
      </c>
      <c r="CQ11">
        <v>0</v>
      </c>
      <c r="CR11" s="27">
        <v>0.44592582035842804</v>
      </c>
      <c r="CT11" s="73"/>
      <c r="CW11" s="27">
        <v>0.15344866823564593</v>
      </c>
      <c r="CX11" s="27">
        <v>0</v>
      </c>
    </row>
    <row r="12" spans="1:120" hidden="1" x14ac:dyDescent="0.3">
      <c r="A12" s="14" t="s">
        <v>37</v>
      </c>
      <c r="B12" s="23"/>
      <c r="C12" s="23"/>
      <c r="D12" s="24">
        <v>12374.400000000001</v>
      </c>
      <c r="E12" s="5">
        <v>20587</v>
      </c>
      <c r="F12">
        <v>10349</v>
      </c>
      <c r="G12">
        <v>0</v>
      </c>
      <c r="H12">
        <v>0</v>
      </c>
      <c r="I12">
        <v>0</v>
      </c>
      <c r="J12" s="27">
        <v>0.15392945622580062</v>
      </c>
      <c r="K12" s="27">
        <v>0</v>
      </c>
      <c r="L12" s="27">
        <v>8.5687264021988813E-2</v>
      </c>
      <c r="N12" s="73"/>
      <c r="R12" s="49">
        <v>38508</v>
      </c>
      <c r="S12" s="42">
        <v>75695</v>
      </c>
      <c r="T12">
        <v>20259</v>
      </c>
      <c r="U12">
        <v>1392</v>
      </c>
      <c r="V12">
        <v>0</v>
      </c>
      <c r="W12">
        <v>632</v>
      </c>
      <c r="X12" s="27">
        <v>0.26723170077295755</v>
      </c>
      <c r="Z12" s="73"/>
      <c r="AD12" s="49">
        <v>19962.400000000001</v>
      </c>
      <c r="AE12">
        <v>37680</v>
      </c>
      <c r="AF12">
        <v>12226</v>
      </c>
      <c r="AG12">
        <v>11765</v>
      </c>
      <c r="AH12">
        <v>0</v>
      </c>
      <c r="AI12">
        <v>0</v>
      </c>
      <c r="AJ12" s="27">
        <v>0.18526802112497848</v>
      </c>
      <c r="AL12" s="73"/>
      <c r="AP12" s="49">
        <v>26356.400000000001</v>
      </c>
      <c r="AQ12">
        <v>43388</v>
      </c>
      <c r="AR12">
        <v>22503</v>
      </c>
      <c r="AS12">
        <v>20154</v>
      </c>
      <c r="AT12">
        <v>0</v>
      </c>
      <c r="AU12">
        <v>0</v>
      </c>
      <c r="AV12" s="27">
        <v>8.7994906468646397E-2</v>
      </c>
      <c r="AX12" s="73"/>
      <c r="BB12" s="49">
        <v>26586</v>
      </c>
      <c r="BC12">
        <v>51740</v>
      </c>
      <c r="BD12">
        <v>14725</v>
      </c>
      <c r="BE12">
        <v>0</v>
      </c>
      <c r="BF12">
        <v>0</v>
      </c>
      <c r="BG12">
        <v>0</v>
      </c>
      <c r="BH12" s="27">
        <v>5.8389352071571712E-2</v>
      </c>
      <c r="BJ12" s="73"/>
      <c r="BN12" s="49">
        <v>38189.200000000004</v>
      </c>
      <c r="BO12">
        <v>80641</v>
      </c>
      <c r="BP12">
        <v>14832</v>
      </c>
      <c r="BQ12">
        <v>12039</v>
      </c>
      <c r="BR12">
        <v>0</v>
      </c>
      <c r="BS12">
        <v>0</v>
      </c>
      <c r="BT12" s="27">
        <v>6.5378384066802603E-2</v>
      </c>
      <c r="BV12" s="73"/>
      <c r="BZ12" s="49">
        <v>20584.400000000001</v>
      </c>
      <c r="CA12">
        <v>36723</v>
      </c>
      <c r="CB12">
        <v>14738</v>
      </c>
      <c r="CC12">
        <v>11318</v>
      </c>
      <c r="CD12">
        <v>0</v>
      </c>
      <c r="CE12">
        <v>0</v>
      </c>
      <c r="CF12" s="27">
        <v>3.5859484777517499E-2</v>
      </c>
      <c r="CL12" s="49">
        <v>15559.600000000002</v>
      </c>
      <c r="CM12" s="29">
        <v>22777</v>
      </c>
      <c r="CN12" s="29">
        <v>16122</v>
      </c>
      <c r="CO12">
        <v>9362</v>
      </c>
      <c r="CP12">
        <v>0</v>
      </c>
      <c r="CQ12">
        <v>0</v>
      </c>
      <c r="CR12" s="27">
        <v>0.44562653650194173</v>
      </c>
      <c r="CT12" s="73"/>
      <c r="CW12" s="27">
        <v>0.15392945622580062</v>
      </c>
      <c r="CX12" s="27">
        <v>0</v>
      </c>
    </row>
    <row r="13" spans="1:120" hidden="1" x14ac:dyDescent="0.3">
      <c r="A13" s="14" t="s">
        <v>37</v>
      </c>
      <c r="B13" s="23"/>
      <c r="C13" s="23"/>
      <c r="D13" s="24">
        <v>12426.400000000001</v>
      </c>
      <c r="E13" s="5">
        <v>20547</v>
      </c>
      <c r="F13">
        <v>10519</v>
      </c>
      <c r="G13">
        <v>0</v>
      </c>
      <c r="H13">
        <v>0</v>
      </c>
      <c r="I13">
        <v>0</v>
      </c>
      <c r="J13" s="27">
        <v>0.15061043064080523</v>
      </c>
      <c r="K13" s="27">
        <v>0</v>
      </c>
      <c r="L13" s="27">
        <v>8.1845117148535831E-2</v>
      </c>
      <c r="N13" s="73"/>
      <c r="R13" s="49">
        <v>38535</v>
      </c>
      <c r="S13" s="42">
        <v>75969</v>
      </c>
      <c r="T13">
        <v>20043</v>
      </c>
      <c r="U13">
        <v>1336</v>
      </c>
      <c r="V13">
        <v>0</v>
      </c>
      <c r="W13">
        <v>651</v>
      </c>
      <c r="X13" s="27">
        <v>0.26671791807639761</v>
      </c>
      <c r="Z13" s="73"/>
      <c r="AD13" s="49">
        <v>19962.400000000001</v>
      </c>
      <c r="AE13">
        <v>37680</v>
      </c>
      <c r="AF13">
        <v>12226</v>
      </c>
      <c r="AG13">
        <v>12899</v>
      </c>
      <c r="AH13">
        <v>0</v>
      </c>
      <c r="AI13">
        <v>0</v>
      </c>
      <c r="AJ13" s="27">
        <v>0.18526802112497848</v>
      </c>
      <c r="AL13" s="73"/>
      <c r="AP13" s="49">
        <v>26652</v>
      </c>
      <c r="AQ13">
        <v>44018</v>
      </c>
      <c r="AR13">
        <v>22612</v>
      </c>
      <c r="AS13">
        <v>16140</v>
      </c>
      <c r="AT13">
        <v>0</v>
      </c>
      <c r="AU13">
        <v>0</v>
      </c>
      <c r="AV13" s="27">
        <v>7.7766320408036202E-2</v>
      </c>
      <c r="AX13" s="73"/>
      <c r="BB13" s="49">
        <v>26736.800000000003</v>
      </c>
      <c r="BC13">
        <v>52212</v>
      </c>
      <c r="BD13">
        <v>14630</v>
      </c>
      <c r="BE13">
        <v>0</v>
      </c>
      <c r="BF13">
        <v>0</v>
      </c>
      <c r="BG13">
        <v>0</v>
      </c>
      <c r="BH13" s="27">
        <v>5.3048387439524405E-2</v>
      </c>
      <c r="BJ13" s="73"/>
      <c r="BN13" s="49">
        <v>38202</v>
      </c>
      <c r="BO13">
        <v>80673</v>
      </c>
      <c r="BP13">
        <v>14832</v>
      </c>
      <c r="BQ13">
        <v>12211</v>
      </c>
      <c r="BR13">
        <v>0</v>
      </c>
      <c r="BS13">
        <v>0</v>
      </c>
      <c r="BT13" s="27">
        <v>6.5065123860148857E-2</v>
      </c>
      <c r="BV13" s="73"/>
      <c r="BZ13" s="49">
        <v>20584.400000000001</v>
      </c>
      <c r="CA13">
        <v>36723</v>
      </c>
      <c r="CB13">
        <v>14738</v>
      </c>
      <c r="CC13">
        <v>11299</v>
      </c>
      <c r="CD13">
        <v>0</v>
      </c>
      <c r="CE13">
        <v>0</v>
      </c>
      <c r="CF13" s="27">
        <v>3.5859484777517499E-2</v>
      </c>
      <c r="CL13" s="49">
        <v>15736.800000000001</v>
      </c>
      <c r="CM13" s="29">
        <v>23199</v>
      </c>
      <c r="CN13" s="30">
        <v>16143</v>
      </c>
      <c r="CO13">
        <v>10167</v>
      </c>
      <c r="CP13">
        <v>0</v>
      </c>
      <c r="CQ13">
        <v>0</v>
      </c>
      <c r="CR13" s="27">
        <v>0.4393130722913029</v>
      </c>
      <c r="CT13" s="73"/>
      <c r="CW13" s="27">
        <v>0.15061043064080523</v>
      </c>
      <c r="CX13" s="27">
        <v>0</v>
      </c>
    </row>
    <row r="14" spans="1:120" s="4" customFormat="1" x14ac:dyDescent="0.3">
      <c r="A14" s="15" t="s">
        <v>37</v>
      </c>
      <c r="B14" s="41" t="s">
        <v>42</v>
      </c>
      <c r="C14" s="41">
        <v>22829</v>
      </c>
      <c r="D14" s="25">
        <v>12475.920000000002</v>
      </c>
      <c r="E14" s="7">
        <v>20796.400000000001</v>
      </c>
      <c r="F14" s="4">
        <v>10393.4</v>
      </c>
      <c r="G14" s="4">
        <v>0</v>
      </c>
      <c r="H14" s="4">
        <v>0</v>
      </c>
      <c r="I14" s="4">
        <v>0</v>
      </c>
      <c r="J14" s="27">
        <v>0.15181936908453997</v>
      </c>
      <c r="K14" s="27">
        <v>4.8681933515801364E-3</v>
      </c>
      <c r="L14" s="27">
        <v>7.8186211125970587E-2</v>
      </c>
      <c r="M14" s="27">
        <v>1.3377592274361817E-2</v>
      </c>
      <c r="N14" s="73">
        <v>8.9035875421612801E-2</v>
      </c>
      <c r="O14" s="27" t="e">
        <v>#DIV/0!</v>
      </c>
      <c r="P14">
        <v>52551.4</v>
      </c>
      <c r="Q14" s="26">
        <v>81057</v>
      </c>
      <c r="R14" s="49">
        <v>38285.600000000006</v>
      </c>
      <c r="S14">
        <v>75184.800000000003</v>
      </c>
      <c r="T14">
        <v>20133</v>
      </c>
      <c r="U14">
        <v>810.8</v>
      </c>
      <c r="V14">
        <v>0</v>
      </c>
      <c r="W14">
        <v>792.4</v>
      </c>
      <c r="X14" s="83">
        <v>0.27146374787351041</v>
      </c>
      <c r="Y14" s="83">
        <v>5.037862152847134E-3</v>
      </c>
      <c r="Z14" s="73">
        <v>7.244531625892886E-2</v>
      </c>
      <c r="AA14" s="27" t="e">
        <v>#DIV/0!</v>
      </c>
      <c r="AB14">
        <v>24501.8</v>
      </c>
      <c r="AC14">
        <v>48120</v>
      </c>
      <c r="AD14" s="49">
        <v>19983.52</v>
      </c>
      <c r="AE14">
        <v>37725.199999999997</v>
      </c>
      <c r="AF14">
        <v>12233.6</v>
      </c>
      <c r="AG14">
        <v>12632.6</v>
      </c>
      <c r="AH14">
        <v>0</v>
      </c>
      <c r="AI14">
        <v>0</v>
      </c>
      <c r="AJ14" s="27">
        <v>0.18440604363761026</v>
      </c>
      <c r="AK14" s="84">
        <v>1.9274402568298945E-3</v>
      </c>
      <c r="AL14" s="73">
        <v>0.21601828761429764</v>
      </c>
      <c r="AM14" s="27" t="e">
        <v>#DIV/0!</v>
      </c>
      <c r="AN14">
        <v>28899.4</v>
      </c>
      <c r="AO14">
        <v>48676</v>
      </c>
      <c r="AP14" s="49">
        <v>26591.920000000006</v>
      </c>
      <c r="AQ14">
        <v>43889.4</v>
      </c>
      <c r="AR14">
        <v>22590.400000000001</v>
      </c>
      <c r="AS14">
        <v>15313.2</v>
      </c>
      <c r="AT14">
        <v>0</v>
      </c>
      <c r="AU14">
        <v>0</v>
      </c>
      <c r="AV14" s="27">
        <v>7.9845256302898876E-2</v>
      </c>
      <c r="AW14" s="27">
        <v>4.5921691795720093E-3</v>
      </c>
      <c r="AX14" s="73">
        <v>9.8335935573999472E-2</v>
      </c>
      <c r="AY14" s="27" t="e">
        <v>#DIV/0!</v>
      </c>
      <c r="AZ14">
        <v>28234.6</v>
      </c>
      <c r="BA14">
        <v>55474</v>
      </c>
      <c r="BB14" s="49">
        <v>26645.52</v>
      </c>
      <c r="BC14">
        <v>51921</v>
      </c>
      <c r="BD14">
        <v>14692.8</v>
      </c>
      <c r="BE14">
        <v>0</v>
      </c>
      <c r="BF14">
        <v>0</v>
      </c>
      <c r="BG14">
        <v>0</v>
      </c>
      <c r="BH14" s="83">
        <v>5.6281300248631046E-2</v>
      </c>
      <c r="BI14" s="83">
        <v>2.8870033718867115E-3</v>
      </c>
      <c r="BJ14" s="73">
        <v>6.4048022497025639E-2</v>
      </c>
      <c r="BK14" s="27" t="e">
        <v>#DIV/0!</v>
      </c>
      <c r="BL14">
        <v>40860.6</v>
      </c>
      <c r="BM14">
        <v>86423</v>
      </c>
      <c r="BN14" s="49">
        <v>38194.320000000007</v>
      </c>
      <c r="BO14">
        <v>80653.8</v>
      </c>
      <c r="BP14">
        <v>14832</v>
      </c>
      <c r="BQ14">
        <v>12159.6</v>
      </c>
      <c r="BR14">
        <v>0</v>
      </c>
      <c r="BS14">
        <v>0</v>
      </c>
      <c r="BT14" s="27">
        <v>6.3853079984140998E-2</v>
      </c>
      <c r="BU14" s="27">
        <v>1.27157968155298E-3</v>
      </c>
      <c r="BV14" s="73">
        <v>6.6755377619383702E-2</v>
      </c>
      <c r="BW14" s="27" t="e">
        <v>#DIV/0!</v>
      </c>
      <c r="BX14">
        <v>21351</v>
      </c>
      <c r="BY14">
        <v>38534</v>
      </c>
      <c r="BZ14" s="49">
        <v>20584.400000000001</v>
      </c>
      <c r="CA14">
        <v>36723</v>
      </c>
      <c r="CB14">
        <v>14738</v>
      </c>
      <c r="CC14">
        <v>11306.6</v>
      </c>
      <c r="CD14">
        <v>0</v>
      </c>
      <c r="CE14">
        <v>0</v>
      </c>
      <c r="CF14" s="27">
        <v>3.5904641468783596E-2</v>
      </c>
      <c r="CG14" s="27">
        <v>6.8791317842759802E-3</v>
      </c>
      <c r="CH14" s="27" t="e">
        <v>#DIV/0!</v>
      </c>
      <c r="CI14">
        <v>18540.2</v>
      </c>
      <c r="CJ14">
        <v>28067</v>
      </c>
      <c r="CK14">
        <v>28067</v>
      </c>
      <c r="CL14" s="49">
        <v>15588.000000000004</v>
      </c>
      <c r="CM14">
        <v>22844.6</v>
      </c>
      <c r="CN14">
        <v>16125.4</v>
      </c>
      <c r="CO14">
        <v>9908.7999999999993</v>
      </c>
      <c r="CP14">
        <v>0</v>
      </c>
      <c r="CQ14">
        <v>0</v>
      </c>
      <c r="CR14" s="83">
        <v>0.44461467203477378</v>
      </c>
      <c r="CS14" s="85">
        <v>2.9727681113145719E-3</v>
      </c>
      <c r="CT14" s="73">
        <v>0.18606904906117511</v>
      </c>
      <c r="CU14" s="27" t="e">
        <v>#DIV/0!</v>
      </c>
      <c r="CV14"/>
      <c r="CW14" s="27">
        <v>0.15181936908453997</v>
      </c>
      <c r="CX14" s="27">
        <v>4.8681933515801364E-3</v>
      </c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</row>
    <row r="15" spans="1:120" hidden="1" x14ac:dyDescent="0.3">
      <c r="A15" s="14" t="s">
        <v>38</v>
      </c>
      <c r="B15" s="23"/>
      <c r="C15" s="23"/>
      <c r="D15" s="24">
        <v>12442</v>
      </c>
      <c r="E15" s="5">
        <v>20555</v>
      </c>
      <c r="F15">
        <v>10550</v>
      </c>
      <c r="G15">
        <v>0</v>
      </c>
      <c r="H15">
        <v>0</v>
      </c>
      <c r="I15">
        <v>0</v>
      </c>
      <c r="J15" s="27">
        <v>0.15125469645776421</v>
      </c>
      <c r="K15" s="27">
        <v>0</v>
      </c>
      <c r="L15" s="27">
        <v>8.0699265564274258E-2</v>
      </c>
      <c r="N15" s="73"/>
      <c r="R15" s="49">
        <v>38295.000000000007</v>
      </c>
      <c r="S15" s="42">
        <v>75154</v>
      </c>
      <c r="T15">
        <v>20150</v>
      </c>
      <c r="U15">
        <v>0</v>
      </c>
      <c r="V15">
        <v>0</v>
      </c>
      <c r="W15">
        <v>867</v>
      </c>
      <c r="X15" s="27">
        <v>0.2712987418272047</v>
      </c>
      <c r="Z15" s="73"/>
      <c r="AD15" s="49">
        <v>20161.599999999999</v>
      </c>
      <c r="AE15">
        <v>38150</v>
      </c>
      <c r="AF15">
        <v>12254</v>
      </c>
      <c r="AG15">
        <v>11141</v>
      </c>
      <c r="AH15">
        <v>0</v>
      </c>
      <c r="AI15">
        <v>0</v>
      </c>
      <c r="AJ15" s="27">
        <v>0.17717158855314499</v>
      </c>
      <c r="AL15" s="73"/>
      <c r="AP15" s="49">
        <v>26410.400000000001</v>
      </c>
      <c r="AQ15">
        <v>43497</v>
      </c>
      <c r="AR15">
        <v>22529</v>
      </c>
      <c r="AS15">
        <v>19371</v>
      </c>
      <c r="AT15">
        <v>0</v>
      </c>
      <c r="AU15">
        <v>0</v>
      </c>
      <c r="AV15" s="27">
        <v>8.6157977052220724E-2</v>
      </c>
      <c r="AX15" s="73"/>
      <c r="BB15" s="49">
        <v>26586</v>
      </c>
      <c r="BC15">
        <v>51740</v>
      </c>
      <c r="BD15">
        <v>14725</v>
      </c>
      <c r="BE15">
        <v>0</v>
      </c>
      <c r="BF15">
        <v>0</v>
      </c>
      <c r="BG15">
        <v>0</v>
      </c>
      <c r="BH15" s="27">
        <v>5.8422700420745391E-2</v>
      </c>
      <c r="BJ15" s="73"/>
      <c r="BN15" s="49">
        <v>38212.800000000003</v>
      </c>
      <c r="BO15">
        <v>80694</v>
      </c>
      <c r="BP15">
        <v>14838</v>
      </c>
      <c r="BQ15">
        <v>12205</v>
      </c>
      <c r="BR15">
        <v>0</v>
      </c>
      <c r="BS15">
        <v>0</v>
      </c>
      <c r="BT15" s="27">
        <v>6.4823697554672252E-2</v>
      </c>
      <c r="BV15" s="73"/>
      <c r="BZ15" s="49">
        <v>20643.2</v>
      </c>
      <c r="CA15">
        <v>36864</v>
      </c>
      <c r="CB15">
        <v>14744</v>
      </c>
      <c r="CC15">
        <v>9002</v>
      </c>
      <c r="CD15">
        <v>0</v>
      </c>
      <c r="CE15">
        <v>0</v>
      </c>
      <c r="CF15" s="27">
        <v>3.3105386416861796E-2</v>
      </c>
      <c r="CL15" s="49">
        <v>15763.6</v>
      </c>
      <c r="CM15" s="29">
        <v>23261</v>
      </c>
      <c r="CN15" s="30">
        <v>16148</v>
      </c>
      <c r="CO15">
        <v>9963</v>
      </c>
      <c r="CP15">
        <v>0</v>
      </c>
      <c r="CQ15">
        <v>0</v>
      </c>
      <c r="CR15" s="27">
        <v>0.4383582142729896</v>
      </c>
      <c r="CT15" s="73"/>
      <c r="CW15" s="27">
        <v>0.15125469645776421</v>
      </c>
      <c r="CX15" s="27">
        <v>0</v>
      </c>
    </row>
    <row r="16" spans="1:120" hidden="1" x14ac:dyDescent="0.3">
      <c r="A16" s="14" t="s">
        <v>38</v>
      </c>
      <c r="B16" s="23"/>
      <c r="C16" s="23"/>
      <c r="D16" s="24">
        <v>12374.400000000001</v>
      </c>
      <c r="E16" s="5">
        <v>20587</v>
      </c>
      <c r="F16">
        <v>10349</v>
      </c>
      <c r="G16">
        <v>0</v>
      </c>
      <c r="H16">
        <v>0</v>
      </c>
      <c r="I16">
        <v>0</v>
      </c>
      <c r="J16" s="27">
        <v>0.15069751826131111</v>
      </c>
      <c r="K16" s="27">
        <v>0</v>
      </c>
      <c r="L16" s="27">
        <v>8.5694019594804216E-2</v>
      </c>
      <c r="N16" s="73"/>
      <c r="R16" s="49">
        <v>38317.599999999999</v>
      </c>
      <c r="S16" s="42">
        <v>75148</v>
      </c>
      <c r="T16">
        <v>20235</v>
      </c>
      <c r="U16">
        <v>335</v>
      </c>
      <c r="V16">
        <v>0</v>
      </c>
      <c r="W16">
        <v>822</v>
      </c>
      <c r="X16" s="27">
        <v>0.27086869486455428</v>
      </c>
      <c r="Z16" s="73"/>
      <c r="AD16" s="49">
        <v>20161.599999999999</v>
      </c>
      <c r="AE16">
        <v>38150</v>
      </c>
      <c r="AF16">
        <v>12254</v>
      </c>
      <c r="AG16">
        <v>13509</v>
      </c>
      <c r="AH16">
        <v>0</v>
      </c>
      <c r="AI16">
        <v>0</v>
      </c>
      <c r="AJ16" s="27">
        <v>0.17717158855314499</v>
      </c>
      <c r="AL16" s="73"/>
      <c r="AP16" s="49">
        <v>26620</v>
      </c>
      <c r="AQ16">
        <v>43953</v>
      </c>
      <c r="AR16">
        <v>22597</v>
      </c>
      <c r="AS16">
        <v>24139</v>
      </c>
      <c r="AT16">
        <v>0</v>
      </c>
      <c r="AU16">
        <v>0</v>
      </c>
      <c r="AV16" s="27">
        <v>7.8905482277061956E-2</v>
      </c>
      <c r="AX16" s="73"/>
      <c r="BB16" s="49">
        <v>26736.800000000003</v>
      </c>
      <c r="BC16">
        <v>52212</v>
      </c>
      <c r="BD16">
        <v>14630</v>
      </c>
      <c r="BE16">
        <v>0</v>
      </c>
      <c r="BF16">
        <v>0</v>
      </c>
      <c r="BG16">
        <v>0</v>
      </c>
      <c r="BH16" s="27">
        <v>5.3081924945812937E-2</v>
      </c>
      <c r="BJ16" s="73"/>
      <c r="BN16" s="49">
        <v>38202.800000000003</v>
      </c>
      <c r="BO16">
        <v>80669</v>
      </c>
      <c r="BP16">
        <v>14838</v>
      </c>
      <c r="BQ16">
        <v>12058</v>
      </c>
      <c r="BR16">
        <v>0</v>
      </c>
      <c r="BS16">
        <v>0</v>
      </c>
      <c r="BT16" s="27">
        <v>6.5068426101767815E-2</v>
      </c>
      <c r="BV16" s="73"/>
      <c r="BZ16" s="49">
        <v>20566.400000000001</v>
      </c>
      <c r="CA16">
        <v>36680</v>
      </c>
      <c r="CB16">
        <v>14736</v>
      </c>
      <c r="CC16">
        <v>11278</v>
      </c>
      <c r="CD16">
        <v>0</v>
      </c>
      <c r="CE16">
        <v>0</v>
      </c>
      <c r="CF16" s="27">
        <v>3.6702576112412108E-2</v>
      </c>
      <c r="CL16" s="49">
        <v>15771.2</v>
      </c>
      <c r="CM16" s="29">
        <v>23281</v>
      </c>
      <c r="CN16" s="29">
        <v>16147</v>
      </c>
      <c r="CO16">
        <v>10163</v>
      </c>
      <c r="CP16">
        <v>0</v>
      </c>
      <c r="CQ16">
        <v>0</v>
      </c>
      <c r="CR16" s="27">
        <v>0.43808743364093061</v>
      </c>
      <c r="CT16" s="73"/>
      <c r="CW16" s="27">
        <v>0.15069751826131111</v>
      </c>
      <c r="CX16" s="27">
        <v>0</v>
      </c>
    </row>
    <row r="17" spans="1:120" hidden="1" x14ac:dyDescent="0.3">
      <c r="A17" s="14" t="s">
        <v>38</v>
      </c>
      <c r="B17" s="23"/>
      <c r="C17" s="23"/>
      <c r="D17" s="24">
        <v>12374.400000000001</v>
      </c>
      <c r="E17" s="5">
        <v>20587</v>
      </c>
      <c r="F17">
        <v>10349</v>
      </c>
      <c r="G17">
        <v>0</v>
      </c>
      <c r="H17">
        <v>0</v>
      </c>
      <c r="I17">
        <v>0</v>
      </c>
      <c r="J17" s="27">
        <v>0.15222520239338783</v>
      </c>
      <c r="K17" s="27">
        <v>0</v>
      </c>
      <c r="L17" s="27">
        <v>8.5694019594804216E-2</v>
      </c>
      <c r="N17" s="73"/>
      <c r="R17" s="49">
        <v>38172.400000000001</v>
      </c>
      <c r="S17" s="42">
        <v>74808</v>
      </c>
      <c r="T17">
        <v>20181</v>
      </c>
      <c r="U17">
        <v>0</v>
      </c>
      <c r="V17">
        <v>0</v>
      </c>
      <c r="W17">
        <v>884</v>
      </c>
      <c r="X17" s="27">
        <v>0.27363165145645107</v>
      </c>
      <c r="Z17" s="73"/>
      <c r="AD17" s="49">
        <v>19962.400000000001</v>
      </c>
      <c r="AE17">
        <v>37680</v>
      </c>
      <c r="AF17">
        <v>12226</v>
      </c>
      <c r="AG17">
        <v>12671</v>
      </c>
      <c r="AH17">
        <v>0</v>
      </c>
      <c r="AI17">
        <v>0</v>
      </c>
      <c r="AJ17" s="27">
        <v>0.18530127169139846</v>
      </c>
      <c r="AL17" s="73"/>
      <c r="AP17" s="49">
        <v>26721.199999999997</v>
      </c>
      <c r="AQ17">
        <v>44157</v>
      </c>
      <c r="AR17">
        <v>22646</v>
      </c>
      <c r="AS17">
        <v>15108</v>
      </c>
      <c r="AT17">
        <v>0</v>
      </c>
      <c r="AU17">
        <v>0</v>
      </c>
      <c r="AV17" s="27">
        <v>7.5403800639437663E-2</v>
      </c>
      <c r="AX17" s="73"/>
      <c r="BB17" s="49">
        <v>26586</v>
      </c>
      <c r="BC17">
        <v>51740</v>
      </c>
      <c r="BD17">
        <v>14725</v>
      </c>
      <c r="BE17">
        <v>0</v>
      </c>
      <c r="BF17">
        <v>0</v>
      </c>
      <c r="BG17">
        <v>0</v>
      </c>
      <c r="BH17" s="27">
        <v>5.8422700420745391E-2</v>
      </c>
      <c r="BJ17" s="73"/>
      <c r="BN17" s="49">
        <v>38189.200000000004</v>
      </c>
      <c r="BO17">
        <v>80641</v>
      </c>
      <c r="BP17">
        <v>14832</v>
      </c>
      <c r="BQ17">
        <v>12064</v>
      </c>
      <c r="BR17">
        <v>0</v>
      </c>
      <c r="BS17">
        <v>0</v>
      </c>
      <c r="BT17" s="27">
        <v>6.5401256925817747E-2</v>
      </c>
      <c r="BV17" s="73"/>
      <c r="BZ17" s="49">
        <v>20584.400000000001</v>
      </c>
      <c r="CA17">
        <v>36723</v>
      </c>
      <c r="CB17">
        <v>14738</v>
      </c>
      <c r="CC17">
        <v>11299</v>
      </c>
      <c r="CD17">
        <v>0</v>
      </c>
      <c r="CE17">
        <v>0</v>
      </c>
      <c r="CF17" s="27">
        <v>3.5859484777517499E-2</v>
      </c>
      <c r="CL17" s="49">
        <v>15771.2</v>
      </c>
      <c r="CM17" s="29">
        <v>23281</v>
      </c>
      <c r="CN17" s="30">
        <v>16147</v>
      </c>
      <c r="CO17">
        <v>9764</v>
      </c>
      <c r="CP17">
        <v>0</v>
      </c>
      <c r="CQ17">
        <v>0</v>
      </c>
      <c r="CR17" s="27">
        <v>0.43808743364093061</v>
      </c>
      <c r="CT17" s="73"/>
      <c r="CW17" s="27">
        <v>0.15222520239338783</v>
      </c>
      <c r="CX17" s="27">
        <v>0</v>
      </c>
    </row>
    <row r="18" spans="1:120" hidden="1" x14ac:dyDescent="0.3">
      <c r="A18" s="14" t="s">
        <v>38</v>
      </c>
      <c r="B18" s="23"/>
      <c r="C18" s="23"/>
      <c r="D18" s="24">
        <v>12500</v>
      </c>
      <c r="E18" s="5">
        <v>20794</v>
      </c>
      <c r="F18">
        <v>10456</v>
      </c>
      <c r="G18">
        <v>0</v>
      </c>
      <c r="H18">
        <v>0</v>
      </c>
      <c r="I18">
        <v>0</v>
      </c>
      <c r="J18" s="27">
        <v>0.15087767777221203</v>
      </c>
      <c r="K18" s="27">
        <v>0</v>
      </c>
      <c r="L18" s="27">
        <v>7.6413825715594616E-2</v>
      </c>
      <c r="N18" s="73"/>
      <c r="R18" s="49">
        <v>38576.400000000001</v>
      </c>
      <c r="S18" s="42">
        <v>75958</v>
      </c>
      <c r="T18">
        <v>20297</v>
      </c>
      <c r="U18">
        <v>317</v>
      </c>
      <c r="V18">
        <v>0</v>
      </c>
      <c r="W18">
        <v>372</v>
      </c>
      <c r="X18" s="27">
        <v>0.26594408628340477</v>
      </c>
      <c r="Z18" s="73"/>
      <c r="AD18" s="49">
        <v>19962.400000000001</v>
      </c>
      <c r="AE18">
        <v>37680</v>
      </c>
      <c r="AF18">
        <v>12226</v>
      </c>
      <c r="AG18">
        <v>12671</v>
      </c>
      <c r="AH18">
        <v>0</v>
      </c>
      <c r="AI18">
        <v>0</v>
      </c>
      <c r="AJ18" s="27">
        <v>0.18530127169139846</v>
      </c>
      <c r="AL18" s="73"/>
      <c r="AP18" s="49">
        <v>26609.599999999999</v>
      </c>
      <c r="AQ18">
        <v>43918</v>
      </c>
      <c r="AR18">
        <v>22606</v>
      </c>
      <c r="AS18">
        <v>16033</v>
      </c>
      <c r="AT18">
        <v>0</v>
      </c>
      <c r="AU18">
        <v>0</v>
      </c>
      <c r="AV18" s="27">
        <v>7.9265338888043171E-2</v>
      </c>
      <c r="AX18" s="73"/>
      <c r="BB18" s="49">
        <v>26732.800000000003</v>
      </c>
      <c r="BC18">
        <v>52173</v>
      </c>
      <c r="BD18">
        <v>14659</v>
      </c>
      <c r="BE18">
        <v>0</v>
      </c>
      <c r="BF18">
        <v>0</v>
      </c>
      <c r="BG18">
        <v>0</v>
      </c>
      <c r="BH18" s="27">
        <v>5.3223590077774004E-2</v>
      </c>
      <c r="BJ18" s="73"/>
      <c r="BN18" s="49">
        <v>38202</v>
      </c>
      <c r="BO18">
        <v>80673</v>
      </c>
      <c r="BP18">
        <v>14832</v>
      </c>
      <c r="BQ18">
        <v>12211</v>
      </c>
      <c r="BR18">
        <v>0</v>
      </c>
      <c r="BS18">
        <v>0</v>
      </c>
      <c r="BT18" s="27">
        <v>6.5088004385535525E-2</v>
      </c>
      <c r="BV18" s="73"/>
      <c r="BZ18" s="49">
        <v>20584.400000000001</v>
      </c>
      <c r="CA18">
        <v>36723</v>
      </c>
      <c r="CB18">
        <v>14738</v>
      </c>
      <c r="CC18">
        <v>11299</v>
      </c>
      <c r="CD18">
        <v>0</v>
      </c>
      <c r="CE18">
        <v>0</v>
      </c>
      <c r="CF18" s="27">
        <v>3.5859484777517499E-2</v>
      </c>
      <c r="CL18" s="49">
        <v>15551.2</v>
      </c>
      <c r="CM18" s="29">
        <v>22757</v>
      </c>
      <c r="CN18" s="29">
        <v>16121</v>
      </c>
      <c r="CO18">
        <v>10216</v>
      </c>
      <c r="CP18">
        <v>0</v>
      </c>
      <c r="CQ18">
        <v>0</v>
      </c>
      <c r="CR18" s="27">
        <v>0.44592582035842804</v>
      </c>
      <c r="CT18" s="73"/>
      <c r="CW18" s="27">
        <v>0.15087767777221203</v>
      </c>
      <c r="CX18" s="27">
        <v>0</v>
      </c>
    </row>
    <row r="19" spans="1:120" hidden="1" x14ac:dyDescent="0.3">
      <c r="A19" s="14" t="s">
        <v>38</v>
      </c>
      <c r="B19" s="23"/>
      <c r="C19" s="23"/>
      <c r="D19" s="24">
        <v>12434.4</v>
      </c>
      <c r="E19" s="5">
        <v>20611</v>
      </c>
      <c r="F19">
        <v>10475</v>
      </c>
      <c r="G19">
        <v>0</v>
      </c>
      <c r="H19">
        <v>0</v>
      </c>
      <c r="I19">
        <v>0</v>
      </c>
      <c r="J19" s="27">
        <v>0.15120432513909368</v>
      </c>
      <c r="K19" s="27">
        <v>0</v>
      </c>
      <c r="L19" s="27">
        <v>8.1260805958239202E-2</v>
      </c>
      <c r="N19" s="73"/>
      <c r="R19" s="49">
        <v>38185.000000000007</v>
      </c>
      <c r="S19" s="42">
        <v>74884</v>
      </c>
      <c r="T19">
        <v>20209</v>
      </c>
      <c r="U19">
        <v>0</v>
      </c>
      <c r="V19">
        <v>0</v>
      </c>
      <c r="W19">
        <v>739</v>
      </c>
      <c r="X19" s="27">
        <v>0.27339189076045994</v>
      </c>
      <c r="Z19" s="73"/>
      <c r="AD19" s="49">
        <v>20046</v>
      </c>
      <c r="AE19">
        <v>37848</v>
      </c>
      <c r="AF19">
        <v>12267</v>
      </c>
      <c r="AG19">
        <v>11395</v>
      </c>
      <c r="AH19">
        <v>0</v>
      </c>
      <c r="AI19">
        <v>0</v>
      </c>
      <c r="AJ19" s="27">
        <v>0.18188941671972181</v>
      </c>
      <c r="AL19" s="73"/>
      <c r="AP19" s="49">
        <v>26682</v>
      </c>
      <c r="AQ19">
        <v>44094</v>
      </c>
      <c r="AR19">
        <v>22611</v>
      </c>
      <c r="AS19">
        <v>19314</v>
      </c>
      <c r="AT19">
        <v>0</v>
      </c>
      <c r="AU19">
        <v>0</v>
      </c>
      <c r="AV19" s="27">
        <v>7.6760183250058872E-2</v>
      </c>
      <c r="AX19" s="73"/>
      <c r="BB19" s="49">
        <v>26736.800000000003</v>
      </c>
      <c r="BC19">
        <v>52212</v>
      </c>
      <c r="BD19">
        <v>14630</v>
      </c>
      <c r="BE19">
        <v>0</v>
      </c>
      <c r="BF19">
        <v>0</v>
      </c>
      <c r="BG19">
        <v>0</v>
      </c>
      <c r="BH19" s="27">
        <v>5.3081924945812937E-2</v>
      </c>
      <c r="BJ19" s="73"/>
      <c r="BN19" s="49">
        <v>38202</v>
      </c>
      <c r="BO19">
        <v>80673</v>
      </c>
      <c r="BP19">
        <v>14832</v>
      </c>
      <c r="BQ19">
        <v>12211</v>
      </c>
      <c r="BR19">
        <v>0</v>
      </c>
      <c r="BS19">
        <v>0</v>
      </c>
      <c r="BT19" s="27">
        <v>6.5088004385535525E-2</v>
      </c>
      <c r="BV19" s="73"/>
      <c r="BZ19" s="49">
        <v>20494.400000000001</v>
      </c>
      <c r="CA19">
        <v>36508</v>
      </c>
      <c r="CB19">
        <v>14728</v>
      </c>
      <c r="CC19">
        <v>11304</v>
      </c>
      <c r="CD19">
        <v>0</v>
      </c>
      <c r="CE19">
        <v>0</v>
      </c>
      <c r="CF19" s="27">
        <v>4.0074941451990566E-2</v>
      </c>
      <c r="CL19" s="49">
        <v>15771.2</v>
      </c>
      <c r="CM19" s="29">
        <v>23281</v>
      </c>
      <c r="CN19" s="29">
        <v>16147</v>
      </c>
      <c r="CO19">
        <v>9764</v>
      </c>
      <c r="CP19">
        <v>0</v>
      </c>
      <c r="CQ19">
        <v>0</v>
      </c>
      <c r="CR19" s="27">
        <v>0.43808743364093061</v>
      </c>
      <c r="CT19" s="73"/>
      <c r="CW19" s="27">
        <v>0.15120432513909368</v>
      </c>
      <c r="CX19" s="27">
        <v>0</v>
      </c>
    </row>
    <row r="20" spans="1:120" s="4" customFormat="1" x14ac:dyDescent="0.3">
      <c r="A20" s="15" t="s">
        <v>38</v>
      </c>
      <c r="B20" s="41" t="s">
        <v>43</v>
      </c>
      <c r="C20" s="41">
        <v>22829</v>
      </c>
      <c r="D20" s="25">
        <v>12425.04</v>
      </c>
      <c r="E20" s="7">
        <v>20626.8</v>
      </c>
      <c r="F20" s="4">
        <v>10435.799999999999</v>
      </c>
      <c r="G20" s="4">
        <v>0</v>
      </c>
      <c r="H20" s="4">
        <v>0</v>
      </c>
      <c r="I20" s="4">
        <v>0</v>
      </c>
      <c r="J20" s="27">
        <v>0.15128306751670528</v>
      </c>
      <c r="K20" s="84">
        <v>2.8901143141817289E-3</v>
      </c>
      <c r="L20" s="27">
        <v>8.1952387285543271E-2</v>
      </c>
      <c r="M20" s="27">
        <v>3.896276675241209E-3</v>
      </c>
      <c r="N20" s="73">
        <v>9.6465022559025837E-2</v>
      </c>
      <c r="O20" s="27" t="e">
        <v>#DIV/0!</v>
      </c>
      <c r="P20">
        <v>52552.4</v>
      </c>
      <c r="Q20" s="26">
        <v>81057</v>
      </c>
      <c r="R20" s="49">
        <v>38309.279999999999</v>
      </c>
      <c r="S20">
        <v>75190.399999999994</v>
      </c>
      <c r="T20">
        <v>20214.400000000001</v>
      </c>
      <c r="U20">
        <v>130.4</v>
      </c>
      <c r="V20">
        <v>0</v>
      </c>
      <c r="W20">
        <v>736.8</v>
      </c>
      <c r="X20" s="27">
        <v>0.27102701303841503</v>
      </c>
      <c r="Y20" s="27">
        <v>3.0948276811708156E-3</v>
      </c>
      <c r="Z20" s="73">
        <v>7.2376229073368201E-2</v>
      </c>
      <c r="AA20" s="27" t="e">
        <v>#DIV/0!</v>
      </c>
      <c r="AB20">
        <v>24502.799999999999</v>
      </c>
      <c r="AC20">
        <v>48120</v>
      </c>
      <c r="AD20" s="49">
        <v>20058.8</v>
      </c>
      <c r="AE20">
        <v>37901.599999999999</v>
      </c>
      <c r="AF20">
        <v>12245.4</v>
      </c>
      <c r="AG20">
        <v>12277.4</v>
      </c>
      <c r="AH20">
        <v>0</v>
      </c>
      <c r="AI20">
        <v>0</v>
      </c>
      <c r="AJ20" s="27">
        <v>0.18136702744176175</v>
      </c>
      <c r="AK20" s="27">
        <v>4.0753178135441845E-3</v>
      </c>
      <c r="AL20" s="73">
        <v>0.21235245220282631</v>
      </c>
      <c r="AM20" s="27" t="e">
        <v>#DIV/0!</v>
      </c>
      <c r="AN20">
        <v>28900.400000000001</v>
      </c>
      <c r="AO20">
        <v>48676</v>
      </c>
      <c r="AP20" s="49">
        <v>26608.639999999999</v>
      </c>
      <c r="AQ20">
        <v>43923.8</v>
      </c>
      <c r="AR20">
        <v>22597.8</v>
      </c>
      <c r="AS20">
        <v>18793</v>
      </c>
      <c r="AT20">
        <v>0</v>
      </c>
      <c r="AU20">
        <v>0</v>
      </c>
      <c r="AV20" s="27">
        <v>7.9298556421364477E-2</v>
      </c>
      <c r="AW20" s="84">
        <v>4.1478826838554587E-3</v>
      </c>
      <c r="AX20" s="73">
        <v>9.7629221793080714E-2</v>
      </c>
      <c r="AY20" s="27" t="e">
        <v>#DIV/0!</v>
      </c>
      <c r="AZ20">
        <v>28235.599999999999</v>
      </c>
      <c r="BA20">
        <v>55474</v>
      </c>
      <c r="BB20" s="49">
        <v>26675.680000000004</v>
      </c>
      <c r="BC20">
        <v>52015.4</v>
      </c>
      <c r="BD20">
        <v>14673.8</v>
      </c>
      <c r="BE20">
        <v>0</v>
      </c>
      <c r="BF20">
        <v>0</v>
      </c>
      <c r="BG20">
        <v>0</v>
      </c>
      <c r="BH20" s="27">
        <v>5.5246568162178059E-2</v>
      </c>
      <c r="BI20" s="27">
        <v>2.8999755639536958E-3</v>
      </c>
      <c r="BJ20" s="73">
        <v>6.2346324404225377E-2</v>
      </c>
      <c r="BK20" s="27" t="e">
        <v>#DIV/0!</v>
      </c>
      <c r="BL20">
        <v>40861.599999999999</v>
      </c>
      <c r="BM20">
        <v>86423</v>
      </c>
      <c r="BN20" s="49">
        <v>38201.760000000002</v>
      </c>
      <c r="BO20">
        <v>80670</v>
      </c>
      <c r="BP20">
        <v>14834.4</v>
      </c>
      <c r="BQ20">
        <v>12149.8</v>
      </c>
      <c r="BR20">
        <v>0</v>
      </c>
      <c r="BS20">
        <v>0</v>
      </c>
      <c r="BT20" s="83">
        <v>6.5253079984140996E-2</v>
      </c>
      <c r="BU20" s="83">
        <v>1.7157968155298632E-4</v>
      </c>
      <c r="BV20" s="73">
        <v>6.6567927519294634E-2</v>
      </c>
      <c r="BW20" s="27" t="e">
        <v>#DIV/0!</v>
      </c>
      <c r="BX20">
        <v>21352</v>
      </c>
      <c r="BY20">
        <v>38534</v>
      </c>
      <c r="BZ20" s="49">
        <v>20574.560000000005</v>
      </c>
      <c r="CA20">
        <v>36699.599999999999</v>
      </c>
      <c r="CB20">
        <v>14736.8</v>
      </c>
      <c r="CC20">
        <v>10836.4</v>
      </c>
      <c r="CD20">
        <v>0</v>
      </c>
      <c r="CE20">
        <v>0</v>
      </c>
      <c r="CF20" s="83">
        <v>3.6410640689396548E-2</v>
      </c>
      <c r="CG20" s="85">
        <v>1.3579180397925101E-3</v>
      </c>
      <c r="CH20" s="27" t="e">
        <v>#DIV/0!</v>
      </c>
      <c r="CI20">
        <v>18541.2</v>
      </c>
      <c r="CJ20">
        <v>28067</v>
      </c>
      <c r="CK20">
        <v>28067</v>
      </c>
      <c r="CL20" s="49">
        <v>15725.679999999998</v>
      </c>
      <c r="CM20">
        <v>23172.2</v>
      </c>
      <c r="CN20">
        <v>16142</v>
      </c>
      <c r="CO20">
        <v>9974</v>
      </c>
      <c r="CP20">
        <v>0</v>
      </c>
      <c r="CQ20">
        <v>0</v>
      </c>
      <c r="CR20" s="27">
        <v>0.43970926711084196</v>
      </c>
      <c r="CS20" s="27">
        <v>3.4771363743429724E-3</v>
      </c>
      <c r="CT20" s="73">
        <v>0.17439697865821069</v>
      </c>
      <c r="CU20" s="27" t="e">
        <v>#DIV/0!</v>
      </c>
      <c r="CV20"/>
      <c r="CW20" s="27">
        <v>0.15128306751670528</v>
      </c>
      <c r="CX20" s="27">
        <v>2.8901143141817289E-3</v>
      </c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</row>
    <row r="21" spans="1:120" hidden="1" x14ac:dyDescent="0.3">
      <c r="A21" s="14" t="s">
        <v>40</v>
      </c>
      <c r="B21" s="23"/>
      <c r="C21" s="23"/>
      <c r="D21" s="24">
        <v>12858</v>
      </c>
      <c r="E21" s="5">
        <v>21656</v>
      </c>
      <c r="F21">
        <v>10489</v>
      </c>
      <c r="G21">
        <v>0</v>
      </c>
      <c r="H21">
        <v>0</v>
      </c>
      <c r="I21">
        <v>0</v>
      </c>
      <c r="J21" s="27">
        <v>0.14654798513142403</v>
      </c>
      <c r="K21" s="27">
        <v>0</v>
      </c>
      <c r="L21" s="27">
        <v>4.9969337165571864E-2</v>
      </c>
      <c r="N21" s="73"/>
      <c r="R21" s="49">
        <v>38410.200000000004</v>
      </c>
      <c r="S21" s="42">
        <v>75448</v>
      </c>
      <c r="T21">
        <v>20264</v>
      </c>
      <c r="U21">
        <v>1102</v>
      </c>
      <c r="V21">
        <v>0</v>
      </c>
      <c r="W21">
        <v>627</v>
      </c>
      <c r="X21" s="27">
        <v>0.26912055166744675</v>
      </c>
      <c r="Z21" s="73"/>
      <c r="AD21" s="49">
        <v>20052</v>
      </c>
      <c r="AE21">
        <v>37890</v>
      </c>
      <c r="AF21">
        <v>12240</v>
      </c>
      <c r="AG21">
        <v>12657</v>
      </c>
      <c r="AH21">
        <v>0</v>
      </c>
      <c r="AI21">
        <v>0</v>
      </c>
      <c r="AJ21" s="27">
        <v>0.18167794382912036</v>
      </c>
      <c r="AL21" s="73"/>
      <c r="AP21" s="49">
        <v>26636.800000000003</v>
      </c>
      <c r="AQ21">
        <v>43986</v>
      </c>
      <c r="AR21">
        <v>22606</v>
      </c>
      <c r="AS21">
        <v>0</v>
      </c>
      <c r="AT21">
        <v>0</v>
      </c>
      <c r="AU21">
        <v>0</v>
      </c>
      <c r="AV21" s="27">
        <v>7.8356065796120547E-2</v>
      </c>
      <c r="AX21" s="73"/>
      <c r="BB21" s="49">
        <v>26586</v>
      </c>
      <c r="BC21">
        <v>51740</v>
      </c>
      <c r="BD21">
        <v>14725</v>
      </c>
      <c r="BE21">
        <v>0</v>
      </c>
      <c r="BF21">
        <v>0</v>
      </c>
      <c r="BG21">
        <v>0</v>
      </c>
      <c r="BH21" s="27">
        <v>5.8456046407853589E-2</v>
      </c>
      <c r="BJ21" s="73"/>
      <c r="BN21" s="49">
        <v>38281.199999999997</v>
      </c>
      <c r="BO21">
        <v>80888</v>
      </c>
      <c r="BP21">
        <v>14815</v>
      </c>
      <c r="BQ21">
        <v>12081</v>
      </c>
      <c r="BR21">
        <v>0</v>
      </c>
      <c r="BS21">
        <v>0</v>
      </c>
      <c r="BT21" s="27">
        <v>6.317268113140137E-2</v>
      </c>
      <c r="BV21" s="73"/>
      <c r="BZ21" s="49">
        <v>20652.400000000001</v>
      </c>
      <c r="CA21">
        <v>36886</v>
      </c>
      <c r="CB21">
        <v>14745</v>
      </c>
      <c r="CC21">
        <v>11292</v>
      </c>
      <c r="CD21">
        <v>0</v>
      </c>
      <c r="CE21">
        <v>0</v>
      </c>
      <c r="CF21" s="27">
        <v>3.267447306791562E-2</v>
      </c>
      <c r="CL21" s="49">
        <v>15746.800000000001</v>
      </c>
      <c r="CM21" s="29">
        <v>23222</v>
      </c>
      <c r="CN21" s="29">
        <v>16145</v>
      </c>
      <c r="CO21">
        <v>9675</v>
      </c>
      <c r="CP21">
        <v>0</v>
      </c>
      <c r="CQ21">
        <v>0</v>
      </c>
      <c r="CR21" s="27">
        <v>0.43895678198596211</v>
      </c>
      <c r="CT21" s="73"/>
      <c r="CW21" s="27">
        <v>0.14654798513142403</v>
      </c>
      <c r="CX21" s="27">
        <v>0</v>
      </c>
    </row>
    <row r="22" spans="1:120" hidden="1" x14ac:dyDescent="0.3">
      <c r="A22" s="14" t="s">
        <v>40</v>
      </c>
      <c r="B22" s="23"/>
      <c r="C22" s="23"/>
      <c r="D22" s="24">
        <v>12426.400000000001</v>
      </c>
      <c r="E22" s="5">
        <v>20547</v>
      </c>
      <c r="F22">
        <v>10519</v>
      </c>
      <c r="G22">
        <v>0</v>
      </c>
      <c r="H22">
        <v>0</v>
      </c>
      <c r="I22">
        <v>0</v>
      </c>
      <c r="J22" s="27">
        <v>0.15361602481348843</v>
      </c>
      <c r="K22" s="27">
        <v>0</v>
      </c>
      <c r="L22" s="27">
        <v>8.1858684970777792E-2</v>
      </c>
      <c r="N22" s="73"/>
      <c r="R22" s="49">
        <v>38546.200000000004</v>
      </c>
      <c r="S22" s="42">
        <v>75740</v>
      </c>
      <c r="T22">
        <v>20312</v>
      </c>
      <c r="U22">
        <v>1429</v>
      </c>
      <c r="V22">
        <v>0</v>
      </c>
      <c r="W22">
        <v>627</v>
      </c>
      <c r="X22" s="27">
        <v>0.26653270768399373</v>
      </c>
      <c r="Z22" s="73"/>
      <c r="AD22" s="49">
        <v>20053.2</v>
      </c>
      <c r="AE22">
        <v>37863</v>
      </c>
      <c r="AF22">
        <v>12270</v>
      </c>
      <c r="AG22">
        <v>11827</v>
      </c>
      <c r="AH22">
        <v>0</v>
      </c>
      <c r="AI22">
        <v>0</v>
      </c>
      <c r="AJ22" s="27">
        <v>0.18162897183294013</v>
      </c>
      <c r="AL22" s="73"/>
      <c r="AP22" s="49">
        <v>26242.400000000001</v>
      </c>
      <c r="AQ22">
        <v>43144</v>
      </c>
      <c r="AR22">
        <v>22462</v>
      </c>
      <c r="AS22">
        <v>20112</v>
      </c>
      <c r="AT22">
        <v>0</v>
      </c>
      <c r="AU22">
        <v>0</v>
      </c>
      <c r="AV22" s="27">
        <v>9.2002463548478616E-2</v>
      </c>
      <c r="AX22" s="73"/>
      <c r="BB22" s="49">
        <v>26586</v>
      </c>
      <c r="BC22">
        <v>51740</v>
      </c>
      <c r="BD22">
        <v>14725</v>
      </c>
      <c r="BE22">
        <v>0</v>
      </c>
      <c r="BF22">
        <v>0</v>
      </c>
      <c r="BG22">
        <v>0</v>
      </c>
      <c r="BH22" s="27">
        <v>5.8456046407853589E-2</v>
      </c>
      <c r="BJ22" s="73"/>
      <c r="BN22" s="49">
        <v>38189.200000000004</v>
      </c>
      <c r="BO22">
        <v>80641</v>
      </c>
      <c r="BP22">
        <v>14832</v>
      </c>
      <c r="BQ22">
        <v>12273</v>
      </c>
      <c r="BR22">
        <v>0</v>
      </c>
      <c r="BS22">
        <v>0</v>
      </c>
      <c r="BT22" s="27">
        <v>6.5424128665331968E-2</v>
      </c>
      <c r="BV22" s="73"/>
      <c r="BZ22" s="49">
        <v>20584.400000000001</v>
      </c>
      <c r="CA22">
        <v>36723</v>
      </c>
      <c r="CB22">
        <v>14738</v>
      </c>
      <c r="CC22">
        <v>11299</v>
      </c>
      <c r="CD22">
        <v>0</v>
      </c>
      <c r="CE22">
        <v>0</v>
      </c>
      <c r="CF22" s="27">
        <v>3.5859484777517499E-2</v>
      </c>
      <c r="CL22" s="49">
        <v>15516.400000000001</v>
      </c>
      <c r="CM22" s="29">
        <v>22675</v>
      </c>
      <c r="CN22" s="29">
        <v>16116</v>
      </c>
      <c r="CO22">
        <v>11247</v>
      </c>
      <c r="CP22">
        <v>0</v>
      </c>
      <c r="CQ22">
        <v>0</v>
      </c>
      <c r="CR22" s="27">
        <v>0.44716571062101396</v>
      </c>
      <c r="CT22" s="73"/>
      <c r="CW22" s="27">
        <v>0.15361602481348843</v>
      </c>
      <c r="CX22" s="27">
        <v>0</v>
      </c>
    </row>
    <row r="23" spans="1:120" hidden="1" x14ac:dyDescent="0.3">
      <c r="A23" s="14" t="s">
        <v>40</v>
      </c>
      <c r="B23" s="23"/>
      <c r="C23" s="23"/>
      <c r="D23" s="24">
        <v>12426.400000000001</v>
      </c>
      <c r="E23" s="5">
        <v>20547</v>
      </c>
      <c r="F23">
        <v>10519</v>
      </c>
      <c r="G23">
        <v>0</v>
      </c>
      <c r="H23">
        <v>0</v>
      </c>
      <c r="I23">
        <v>0</v>
      </c>
      <c r="J23" s="27">
        <v>0.15042444590885307</v>
      </c>
      <c r="K23" s="27">
        <v>0</v>
      </c>
      <c r="L23" s="27">
        <v>8.1858684970777792E-2</v>
      </c>
      <c r="N23" s="73"/>
      <c r="R23" s="49">
        <v>38529.199999999997</v>
      </c>
      <c r="S23" s="42">
        <v>75641</v>
      </c>
      <c r="T23">
        <v>20369</v>
      </c>
      <c r="U23">
        <v>2626</v>
      </c>
      <c r="V23">
        <v>0</v>
      </c>
      <c r="W23">
        <v>626</v>
      </c>
      <c r="X23" s="27">
        <v>0.26685618818192552</v>
      </c>
      <c r="Z23" s="73"/>
      <c r="AD23" s="49">
        <v>19962.400000000001</v>
      </c>
      <c r="AE23">
        <v>37680</v>
      </c>
      <c r="AF23">
        <v>12226</v>
      </c>
      <c r="AG23">
        <v>11765</v>
      </c>
      <c r="AH23">
        <v>0</v>
      </c>
      <c r="AI23">
        <v>0</v>
      </c>
      <c r="AJ23" s="27">
        <v>0.18533451954390739</v>
      </c>
      <c r="AL23" s="73"/>
      <c r="AP23" s="49">
        <v>26637.600000000002</v>
      </c>
      <c r="AQ23">
        <v>43974</v>
      </c>
      <c r="AR23">
        <v>22620</v>
      </c>
      <c r="AS23">
        <v>16033</v>
      </c>
      <c r="AT23">
        <v>0</v>
      </c>
      <c r="AU23">
        <v>0</v>
      </c>
      <c r="AV23" s="27">
        <v>7.8328385476136075E-2</v>
      </c>
      <c r="AX23" s="73"/>
      <c r="BB23" s="49">
        <v>26736.800000000003</v>
      </c>
      <c r="BC23">
        <v>52212</v>
      </c>
      <c r="BD23">
        <v>14630</v>
      </c>
      <c r="BE23">
        <v>0</v>
      </c>
      <c r="BF23">
        <v>0</v>
      </c>
      <c r="BG23">
        <v>0</v>
      </c>
      <c r="BH23" s="27">
        <v>5.311546007663797E-2</v>
      </c>
      <c r="BJ23" s="73"/>
      <c r="BN23" s="49">
        <v>38274.800000000003</v>
      </c>
      <c r="BO23">
        <v>80876</v>
      </c>
      <c r="BP23">
        <v>14811</v>
      </c>
      <c r="BQ23">
        <v>12003</v>
      </c>
      <c r="BR23">
        <v>0</v>
      </c>
      <c r="BS23">
        <v>0</v>
      </c>
      <c r="BT23" s="27">
        <v>6.3329303568544243E-2</v>
      </c>
      <c r="BV23" s="73"/>
      <c r="BZ23" s="49">
        <v>20597.2</v>
      </c>
      <c r="CA23">
        <v>36752</v>
      </c>
      <c r="CB23">
        <v>14741</v>
      </c>
      <c r="CC23">
        <v>11291</v>
      </c>
      <c r="CD23">
        <v>0</v>
      </c>
      <c r="CE23">
        <v>0</v>
      </c>
      <c r="CF23" s="27">
        <v>3.5259953161592472E-2</v>
      </c>
      <c r="CL23" s="49">
        <v>15736.800000000001</v>
      </c>
      <c r="CM23" s="29">
        <v>23199</v>
      </c>
      <c r="CN23" s="29">
        <v>16143</v>
      </c>
      <c r="CO23">
        <v>10167</v>
      </c>
      <c r="CP23">
        <v>0</v>
      </c>
      <c r="CQ23">
        <v>0</v>
      </c>
      <c r="CR23" s="27">
        <v>0.4393130722913029</v>
      </c>
      <c r="CT23" s="73"/>
      <c r="CW23" s="27">
        <v>0.15042444590885307</v>
      </c>
      <c r="CX23" s="27">
        <v>0</v>
      </c>
    </row>
    <row r="24" spans="1:120" hidden="1" x14ac:dyDescent="0.3">
      <c r="A24" s="14" t="s">
        <v>40</v>
      </c>
      <c r="B24" s="23"/>
      <c r="C24" s="23"/>
      <c r="D24" s="24">
        <v>12390.8</v>
      </c>
      <c r="E24" s="5">
        <v>20621</v>
      </c>
      <c r="F24">
        <v>10356</v>
      </c>
      <c r="G24">
        <v>0</v>
      </c>
      <c r="H24">
        <v>0</v>
      </c>
      <c r="I24">
        <v>0</v>
      </c>
      <c r="J24" s="27">
        <v>0.14940914870706698</v>
      </c>
      <c r="K24" s="27">
        <v>0</v>
      </c>
      <c r="L24" s="27">
        <v>8.4489038960271309E-2</v>
      </c>
      <c r="N24" s="73"/>
      <c r="R24" s="49">
        <v>38608.6</v>
      </c>
      <c r="S24" s="42">
        <v>75888</v>
      </c>
      <c r="T24">
        <v>20400</v>
      </c>
      <c r="U24">
        <v>885</v>
      </c>
      <c r="V24">
        <v>0</v>
      </c>
      <c r="W24">
        <v>467</v>
      </c>
      <c r="X24" s="27">
        <v>0.26534534397393894</v>
      </c>
      <c r="Z24" s="73"/>
      <c r="AD24" s="49">
        <v>20161.599999999999</v>
      </c>
      <c r="AE24">
        <v>38150</v>
      </c>
      <c r="AF24">
        <v>12254</v>
      </c>
      <c r="AG24">
        <v>13509</v>
      </c>
      <c r="AH24">
        <v>0</v>
      </c>
      <c r="AI24">
        <v>0</v>
      </c>
      <c r="AJ24" s="27">
        <v>0.17720516817799692</v>
      </c>
      <c r="AL24" s="73"/>
      <c r="AP24" s="49">
        <v>26649.599999999999</v>
      </c>
      <c r="AQ24">
        <v>44013</v>
      </c>
      <c r="AR24">
        <v>22611</v>
      </c>
      <c r="AS24">
        <v>15129</v>
      </c>
      <c r="AT24">
        <v>0</v>
      </c>
      <c r="AU24">
        <v>0</v>
      </c>
      <c r="AV24" s="27">
        <v>7.791318067636871E-2</v>
      </c>
      <c r="AX24" s="73"/>
      <c r="BB24" s="49">
        <v>26736.800000000003</v>
      </c>
      <c r="BC24">
        <v>52212</v>
      </c>
      <c r="BD24">
        <v>14630</v>
      </c>
      <c r="BE24">
        <v>0</v>
      </c>
      <c r="BF24">
        <v>0</v>
      </c>
      <c r="BG24">
        <v>0</v>
      </c>
      <c r="BH24" s="27">
        <v>5.311546007663797E-2</v>
      </c>
      <c r="BJ24" s="73"/>
      <c r="BN24" s="49">
        <v>38212.800000000003</v>
      </c>
      <c r="BO24">
        <v>80694</v>
      </c>
      <c r="BP24">
        <v>14838</v>
      </c>
      <c r="BQ24">
        <v>12205</v>
      </c>
      <c r="BR24">
        <v>0</v>
      </c>
      <c r="BS24">
        <v>0</v>
      </c>
      <c r="BT24" s="27">
        <v>6.484658342836716E-2</v>
      </c>
      <c r="BV24" s="73"/>
      <c r="BZ24" s="49">
        <v>20624.400000000001</v>
      </c>
      <c r="CA24">
        <v>36818</v>
      </c>
      <c r="CB24">
        <v>14743</v>
      </c>
      <c r="CC24">
        <v>11303</v>
      </c>
      <c r="CD24">
        <v>0</v>
      </c>
      <c r="CE24">
        <v>0</v>
      </c>
      <c r="CF24" s="27">
        <v>3.3985948477751687E-2</v>
      </c>
      <c r="CL24" s="49">
        <v>15763.2</v>
      </c>
      <c r="CM24" s="29">
        <v>23261</v>
      </c>
      <c r="CN24" s="29">
        <v>16147</v>
      </c>
      <c r="CO24">
        <v>9764</v>
      </c>
      <c r="CP24">
        <v>0</v>
      </c>
      <c r="CQ24">
        <v>0</v>
      </c>
      <c r="CR24" s="27">
        <v>0.43837246588520323</v>
      </c>
      <c r="CT24" s="73"/>
      <c r="CW24" s="27">
        <v>0.14940914870706698</v>
      </c>
      <c r="CX24" s="27">
        <v>0</v>
      </c>
    </row>
    <row r="25" spans="1:120" hidden="1" x14ac:dyDescent="0.3">
      <c r="A25" s="14" t="s">
        <v>40</v>
      </c>
      <c r="B25" s="23"/>
      <c r="C25" s="23"/>
      <c r="D25" s="24">
        <v>12390.8</v>
      </c>
      <c r="E25" s="5">
        <v>20621</v>
      </c>
      <c r="F25">
        <v>10356</v>
      </c>
      <c r="G25">
        <v>0</v>
      </c>
      <c r="H25">
        <v>0</v>
      </c>
      <c r="I25">
        <v>0</v>
      </c>
      <c r="J25" s="27">
        <v>0.15057013906392519</v>
      </c>
      <c r="K25" s="27">
        <v>0</v>
      </c>
      <c r="L25" s="27">
        <v>8.4489038960271309E-2</v>
      </c>
      <c r="N25" s="73"/>
      <c r="R25" s="49">
        <v>38636.800000000003</v>
      </c>
      <c r="S25" s="42">
        <v>75897</v>
      </c>
      <c r="T25">
        <v>20379</v>
      </c>
      <c r="U25">
        <v>2361</v>
      </c>
      <c r="V25">
        <v>0</v>
      </c>
      <c r="W25">
        <v>632</v>
      </c>
      <c r="X25" s="27">
        <v>0.26480874691266404</v>
      </c>
      <c r="Z25" s="73"/>
      <c r="AD25" s="49">
        <v>20068</v>
      </c>
      <c r="AE25">
        <v>37906</v>
      </c>
      <c r="AF25">
        <v>12264</v>
      </c>
      <c r="AG25">
        <v>12833</v>
      </c>
      <c r="AH25">
        <v>0</v>
      </c>
      <c r="AI25">
        <v>0</v>
      </c>
      <c r="AJ25" s="27">
        <v>0.18102498388005123</v>
      </c>
      <c r="AL25" s="73"/>
      <c r="AP25" s="49">
        <v>26652.800000000003</v>
      </c>
      <c r="AQ25">
        <v>44024</v>
      </c>
      <c r="AR25">
        <v>22608</v>
      </c>
      <c r="AS25">
        <v>0</v>
      </c>
      <c r="AT25">
        <v>0</v>
      </c>
      <c r="AU25">
        <v>0</v>
      </c>
      <c r="AV25" s="27">
        <v>7.7802459396430573E-2</v>
      </c>
      <c r="AX25" s="73"/>
      <c r="BB25" s="49">
        <v>26732.800000000003</v>
      </c>
      <c r="BC25">
        <v>52173</v>
      </c>
      <c r="BD25">
        <v>14659</v>
      </c>
      <c r="BE25">
        <v>0</v>
      </c>
      <c r="BF25">
        <v>0</v>
      </c>
      <c r="BG25">
        <v>0</v>
      </c>
      <c r="BH25" s="27">
        <v>5.3257120191524322E-2</v>
      </c>
      <c r="BJ25" s="73"/>
      <c r="BN25" s="49">
        <v>38226.400000000001</v>
      </c>
      <c r="BO25">
        <v>80722</v>
      </c>
      <c r="BP25">
        <v>14844</v>
      </c>
      <c r="BQ25">
        <v>12199</v>
      </c>
      <c r="BR25">
        <v>0</v>
      </c>
      <c r="BS25">
        <v>0</v>
      </c>
      <c r="BT25" s="27">
        <v>6.4513760749438293E-2</v>
      </c>
      <c r="BV25" s="73"/>
      <c r="BZ25" s="49">
        <v>20585.600000000002</v>
      </c>
      <c r="CA25">
        <v>36723</v>
      </c>
      <c r="CB25">
        <v>14741</v>
      </c>
      <c r="CC25">
        <v>11318</v>
      </c>
      <c r="CD25">
        <v>0</v>
      </c>
      <c r="CE25">
        <v>0</v>
      </c>
      <c r="CF25" s="27">
        <v>3.5803278688524488E-2</v>
      </c>
      <c r="CL25" s="49">
        <v>15637.2</v>
      </c>
      <c r="CM25" s="29">
        <v>22961</v>
      </c>
      <c r="CN25" s="29">
        <v>16132</v>
      </c>
      <c r="CO25">
        <v>8125</v>
      </c>
      <c r="CP25">
        <v>0</v>
      </c>
      <c r="CQ25">
        <v>0</v>
      </c>
      <c r="CR25" s="27">
        <v>0.44286172373249721</v>
      </c>
      <c r="CT25" s="73"/>
      <c r="CW25" s="27">
        <v>0.15057013906392519</v>
      </c>
      <c r="CX25" s="27">
        <v>0</v>
      </c>
    </row>
    <row r="26" spans="1:120" s="4" customFormat="1" x14ac:dyDescent="0.3">
      <c r="A26" s="15" t="s">
        <v>40</v>
      </c>
      <c r="B26" s="41" t="s">
        <v>44</v>
      </c>
      <c r="C26" s="41">
        <v>22829</v>
      </c>
      <c r="D26" s="25">
        <v>12498.480000000001</v>
      </c>
      <c r="E26" s="7">
        <v>20798.400000000001</v>
      </c>
      <c r="F26" s="4">
        <v>10447.799999999999</v>
      </c>
      <c r="G26" s="4">
        <v>0</v>
      </c>
      <c r="H26" s="4">
        <v>0</v>
      </c>
      <c r="I26" s="4">
        <v>0</v>
      </c>
      <c r="J26" s="27">
        <v>0.15013050096888153</v>
      </c>
      <c r="K26" s="27">
        <v>5.1188002193253927E-3</v>
      </c>
      <c r="L26" s="27">
        <v>7.6532957005533933E-2</v>
      </c>
      <c r="M26" s="27">
        <v>1.4907641797603172E-2</v>
      </c>
      <c r="N26" s="73">
        <v>8.8948267554426322E-2</v>
      </c>
      <c r="O26" s="27" t="e">
        <v>#DIV/0!</v>
      </c>
      <c r="P26">
        <v>52553.4</v>
      </c>
      <c r="Q26" s="26">
        <v>81057</v>
      </c>
      <c r="R26" s="49">
        <v>38546.200000000004</v>
      </c>
      <c r="S26">
        <v>75722.8</v>
      </c>
      <c r="T26">
        <v>20344.8</v>
      </c>
      <c r="U26">
        <v>1680.6</v>
      </c>
      <c r="V26">
        <v>0</v>
      </c>
      <c r="W26">
        <v>595.79999999999995</v>
      </c>
      <c r="X26" s="27">
        <v>0.26653270768399373</v>
      </c>
      <c r="Y26" s="27">
        <v>1.6720832392763025E-3</v>
      </c>
      <c r="Z26" s="73">
        <v>6.5808011646125528E-2</v>
      </c>
      <c r="AA26" s="27" t="e">
        <v>#DIV/0!</v>
      </c>
      <c r="AB26">
        <v>24503.8</v>
      </c>
      <c r="AC26">
        <v>48120</v>
      </c>
      <c r="AD26" s="49">
        <v>20059.439999999999</v>
      </c>
      <c r="AE26">
        <v>37897.800000000003</v>
      </c>
      <c r="AF26">
        <v>12250.8</v>
      </c>
      <c r="AG26">
        <v>12518.2</v>
      </c>
      <c r="AH26">
        <v>0</v>
      </c>
      <c r="AI26">
        <v>0</v>
      </c>
      <c r="AJ26" s="27">
        <v>0.18137431745280327</v>
      </c>
      <c r="AK26" s="27">
        <v>2.8872165684606108E-3</v>
      </c>
      <c r="AL26" s="73">
        <v>0.21243142144638397</v>
      </c>
      <c r="AM26" s="27" t="e">
        <v>#DIV/0!</v>
      </c>
      <c r="AN26">
        <v>28901.4</v>
      </c>
      <c r="AO26">
        <v>48676</v>
      </c>
      <c r="AP26" s="49">
        <v>26563.84</v>
      </c>
      <c r="AQ26">
        <v>43828.2</v>
      </c>
      <c r="AR26">
        <v>22581.4</v>
      </c>
      <c r="AS26">
        <v>10254.799999999999</v>
      </c>
      <c r="AT26">
        <v>0</v>
      </c>
      <c r="AU26">
        <v>0</v>
      </c>
      <c r="AV26" s="27">
        <v>8.0880510978706951E-2</v>
      </c>
      <c r="AW26" s="27">
        <v>6.2222071584634615E-3</v>
      </c>
      <c r="AX26" s="73">
        <v>9.9593228695866606E-2</v>
      </c>
      <c r="AY26" s="27" t="e">
        <v>#DIV/0!</v>
      </c>
      <c r="AZ26">
        <v>28236.6</v>
      </c>
      <c r="BA26">
        <v>55474</v>
      </c>
      <c r="BB26" s="49">
        <v>26675.680000000004</v>
      </c>
      <c r="BC26">
        <v>52015.4</v>
      </c>
      <c r="BD26">
        <v>14673.8</v>
      </c>
      <c r="BE26">
        <v>0</v>
      </c>
      <c r="BF26">
        <v>0</v>
      </c>
      <c r="BG26">
        <v>0</v>
      </c>
      <c r="BH26" s="27">
        <v>5.5280026632101409E-2</v>
      </c>
      <c r="BI26" s="27">
        <v>2.8998728612358092E-3</v>
      </c>
      <c r="BJ26" s="73">
        <v>6.2346324404225377E-2</v>
      </c>
      <c r="BK26" s="27" t="e">
        <v>#DIV/0!</v>
      </c>
      <c r="BL26">
        <v>40862.6</v>
      </c>
      <c r="BM26">
        <v>86423</v>
      </c>
      <c r="BN26" s="49">
        <v>38236.879999999997</v>
      </c>
      <c r="BO26">
        <v>80764.2</v>
      </c>
      <c r="BP26">
        <v>14828</v>
      </c>
      <c r="BQ26">
        <v>12152.2</v>
      </c>
      <c r="BR26">
        <v>0</v>
      </c>
      <c r="BS26">
        <v>0</v>
      </c>
      <c r="BT26" s="27">
        <v>6.4257291508616712E-2</v>
      </c>
      <c r="BU26" s="27">
        <v>9.7622892752484804E-4</v>
      </c>
      <c r="BV26" s="73">
        <v>6.5477939900258061E-2</v>
      </c>
      <c r="BW26" s="27" t="e">
        <v>#DIV/0!</v>
      </c>
      <c r="BX26">
        <v>21353</v>
      </c>
      <c r="BY26">
        <v>38534</v>
      </c>
      <c r="BZ26" s="49">
        <v>20608.8</v>
      </c>
      <c r="CA26">
        <v>36780.400000000001</v>
      </c>
      <c r="CB26">
        <v>14741.6</v>
      </c>
      <c r="CC26">
        <v>11300.6</v>
      </c>
      <c r="CD26">
        <v>0</v>
      </c>
      <c r="CE26">
        <v>0</v>
      </c>
      <c r="CF26" s="27">
        <v>3.4852245586100346E-2</v>
      </c>
      <c r="CG26" s="27">
        <v>7.6821528506626898E-3</v>
      </c>
      <c r="CH26" s="27" t="e">
        <v>#DIV/0!</v>
      </c>
      <c r="CI26">
        <v>18542.2</v>
      </c>
      <c r="CJ26">
        <v>28067</v>
      </c>
      <c r="CK26">
        <v>28067</v>
      </c>
      <c r="CL26" s="49">
        <v>15680.080000000002</v>
      </c>
      <c r="CM26">
        <v>23063.599999999999</v>
      </c>
      <c r="CN26">
        <v>16136.6</v>
      </c>
      <c r="CO26">
        <v>9795.6</v>
      </c>
      <c r="CP26">
        <v>0</v>
      </c>
      <c r="CQ26">
        <v>0</v>
      </c>
      <c r="CR26" s="27">
        <v>0.44133395090319588</v>
      </c>
      <c r="CS26" s="27">
        <v>3.7029983513762457E-3</v>
      </c>
      <c r="CT26" s="73">
        <v>0.17826629137421177</v>
      </c>
      <c r="CU26" s="27" t="e">
        <v>#DIV/0!</v>
      </c>
      <c r="CV26"/>
      <c r="CW26" s="27">
        <v>0.15013050096888153</v>
      </c>
      <c r="CX26" s="27">
        <v>5.1188002193253927E-3</v>
      </c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</row>
    <row r="27" spans="1:120" hidden="1" x14ac:dyDescent="0.3">
      <c r="A27" s="14" t="s">
        <v>39</v>
      </c>
      <c r="B27" s="23"/>
      <c r="C27" s="23"/>
      <c r="D27" s="24">
        <v>12426.400000000001</v>
      </c>
      <c r="E27" s="5">
        <v>20547</v>
      </c>
      <c r="F27">
        <v>10519</v>
      </c>
      <c r="G27">
        <v>0</v>
      </c>
      <c r="H27">
        <v>0</v>
      </c>
      <c r="I27">
        <v>0</v>
      </c>
      <c r="J27" s="27">
        <v>0.15019686132570489</v>
      </c>
      <c r="K27" s="27">
        <v>0</v>
      </c>
      <c r="L27" s="27">
        <v>8.1865468731528418E-2</v>
      </c>
      <c r="N27" s="73"/>
      <c r="R27" s="49">
        <v>38776.200000000004</v>
      </c>
      <c r="S27" s="42">
        <v>76332</v>
      </c>
      <c r="T27">
        <v>20590</v>
      </c>
      <c r="U27">
        <v>1311</v>
      </c>
      <c r="V27">
        <v>0</v>
      </c>
      <c r="W27">
        <v>37</v>
      </c>
      <c r="X27" s="27">
        <v>0.26217024644939335</v>
      </c>
      <c r="Z27" s="73"/>
      <c r="AD27" s="49">
        <v>19962.400000000001</v>
      </c>
      <c r="AE27">
        <v>37680</v>
      </c>
      <c r="AF27">
        <v>12226</v>
      </c>
      <c r="AG27">
        <v>11897</v>
      </c>
      <c r="AH27">
        <v>0</v>
      </c>
      <c r="AI27">
        <v>0</v>
      </c>
      <c r="AJ27" s="27">
        <v>0.18536776468283755</v>
      </c>
      <c r="AL27" s="73"/>
      <c r="AP27" s="49">
        <v>26677.600000000002</v>
      </c>
      <c r="AQ27">
        <v>44069</v>
      </c>
      <c r="AR27">
        <v>22625</v>
      </c>
      <c r="AS27">
        <v>15129</v>
      </c>
      <c r="AT27">
        <v>0</v>
      </c>
      <c r="AU27">
        <v>0</v>
      </c>
      <c r="AV27" s="27">
        <v>7.6976306465898994E-2</v>
      </c>
      <c r="AX27" s="73"/>
      <c r="BB27" s="49">
        <v>26732.800000000003</v>
      </c>
      <c r="BC27">
        <v>52173</v>
      </c>
      <c r="BD27">
        <v>14659</v>
      </c>
      <c r="BE27">
        <v>0</v>
      </c>
      <c r="BF27">
        <v>0</v>
      </c>
      <c r="BG27">
        <v>0</v>
      </c>
      <c r="BH27" s="27">
        <v>5.3290647930418863E-2</v>
      </c>
      <c r="BJ27" s="73"/>
      <c r="BN27" s="49">
        <v>38189.200000000004</v>
      </c>
      <c r="BO27">
        <v>80641</v>
      </c>
      <c r="BP27">
        <v>14832</v>
      </c>
      <c r="BQ27">
        <v>12187</v>
      </c>
      <c r="BR27">
        <v>0</v>
      </c>
      <c r="BS27">
        <v>0</v>
      </c>
      <c r="BT27" s="27">
        <v>6.5446999285427479E-2</v>
      </c>
      <c r="BV27" s="73"/>
      <c r="BZ27" s="49">
        <v>20530.8</v>
      </c>
      <c r="CA27">
        <v>36595</v>
      </c>
      <c r="CB27">
        <v>14732</v>
      </c>
      <c r="CC27">
        <v>11324</v>
      </c>
      <c r="CD27">
        <v>0</v>
      </c>
      <c r="CE27">
        <v>0</v>
      </c>
      <c r="CF27" s="27">
        <v>3.8370023419203779E-2</v>
      </c>
      <c r="CL27" s="49">
        <v>15771.2</v>
      </c>
      <c r="CM27" s="29">
        <v>23281</v>
      </c>
      <c r="CN27" s="30">
        <v>16147</v>
      </c>
      <c r="CO27">
        <v>9764</v>
      </c>
      <c r="CP27">
        <v>0</v>
      </c>
      <c r="CQ27">
        <v>0</v>
      </c>
      <c r="CR27" s="27">
        <v>0.43808743364093061</v>
      </c>
      <c r="CT27" s="73"/>
      <c r="CW27" s="27">
        <v>0.15019686132570489</v>
      </c>
      <c r="CX27" s="27">
        <v>0</v>
      </c>
    </row>
    <row r="28" spans="1:120" hidden="1" x14ac:dyDescent="0.3">
      <c r="A28" s="14" t="s">
        <v>39</v>
      </c>
      <c r="B28" s="23"/>
      <c r="C28" s="23"/>
      <c r="D28" s="24">
        <v>12442</v>
      </c>
      <c r="E28" s="5">
        <v>20555</v>
      </c>
      <c r="F28">
        <v>10550</v>
      </c>
      <c r="G28">
        <v>0</v>
      </c>
      <c r="H28">
        <v>0</v>
      </c>
      <c r="I28">
        <v>0</v>
      </c>
      <c r="J28" s="27">
        <v>0.15193049682771595</v>
      </c>
      <c r="K28" s="27">
        <v>0</v>
      </c>
      <c r="L28" s="27">
        <v>8.0712850218701948E-2</v>
      </c>
      <c r="N28" s="73"/>
      <c r="R28" s="49">
        <v>38691.600000000006</v>
      </c>
      <c r="S28" s="42">
        <v>76134</v>
      </c>
      <c r="T28">
        <v>20378</v>
      </c>
      <c r="U28">
        <v>1013</v>
      </c>
      <c r="V28">
        <v>0</v>
      </c>
      <c r="W28">
        <v>434</v>
      </c>
      <c r="X28" s="27">
        <v>0.26378000700226806</v>
      </c>
      <c r="Z28" s="73"/>
      <c r="AD28" s="49">
        <v>19962.400000000001</v>
      </c>
      <c r="AE28">
        <v>37680</v>
      </c>
      <c r="AF28">
        <v>12226</v>
      </c>
      <c r="AG28">
        <v>11669</v>
      </c>
      <c r="AH28">
        <v>0</v>
      </c>
      <c r="AI28">
        <v>0</v>
      </c>
      <c r="AJ28" s="27">
        <v>0.18536776468283755</v>
      </c>
      <c r="AL28" s="73"/>
      <c r="AP28" s="49">
        <v>26286</v>
      </c>
      <c r="AQ28">
        <v>43232</v>
      </c>
      <c r="AR28">
        <v>22483</v>
      </c>
      <c r="AS28">
        <v>20154</v>
      </c>
      <c r="AT28">
        <v>0</v>
      </c>
      <c r="AU28">
        <v>0</v>
      </c>
      <c r="AV28" s="27">
        <v>9.0525354295837065E-2</v>
      </c>
      <c r="AX28" s="73"/>
      <c r="BB28" s="49">
        <v>26692.799999999999</v>
      </c>
      <c r="BC28">
        <v>52090</v>
      </c>
      <c r="BD28">
        <v>14642</v>
      </c>
      <c r="BE28">
        <v>0</v>
      </c>
      <c r="BF28">
        <v>0</v>
      </c>
      <c r="BG28">
        <v>0</v>
      </c>
      <c r="BH28" s="27">
        <v>5.470719891208882E-2</v>
      </c>
      <c r="BJ28" s="73"/>
      <c r="BN28" s="49">
        <v>38199.600000000006</v>
      </c>
      <c r="BO28">
        <v>80662</v>
      </c>
      <c r="BP28">
        <v>14837</v>
      </c>
      <c r="BQ28">
        <v>12116</v>
      </c>
      <c r="BR28">
        <v>0</v>
      </c>
      <c r="BS28">
        <v>0</v>
      </c>
      <c r="BT28" s="27">
        <v>6.5192494053387187E-2</v>
      </c>
      <c r="BV28" s="73"/>
      <c r="BZ28" s="49">
        <v>20584.400000000001</v>
      </c>
      <c r="CA28">
        <v>36723</v>
      </c>
      <c r="CB28">
        <v>14738</v>
      </c>
      <c r="CC28">
        <v>11299</v>
      </c>
      <c r="CD28">
        <v>0</v>
      </c>
      <c r="CE28">
        <v>0</v>
      </c>
      <c r="CF28" s="27">
        <v>3.5859484777517499E-2</v>
      </c>
      <c r="CL28" s="49">
        <v>15737.2</v>
      </c>
      <c r="CM28" s="29">
        <v>23199</v>
      </c>
      <c r="CN28" s="29">
        <v>16144</v>
      </c>
      <c r="CO28">
        <v>9967</v>
      </c>
      <c r="CP28">
        <v>0</v>
      </c>
      <c r="CQ28">
        <v>0</v>
      </c>
      <c r="CR28" s="27">
        <v>0.43929882067908932</v>
      </c>
      <c r="CT28" s="73"/>
      <c r="CW28" s="27">
        <v>0.15193049682771595</v>
      </c>
      <c r="CX28" s="27">
        <v>0</v>
      </c>
    </row>
    <row r="29" spans="1:120" hidden="1" x14ac:dyDescent="0.3">
      <c r="A29" s="14" t="s">
        <v>39</v>
      </c>
      <c r="B29" s="23"/>
      <c r="C29" s="23"/>
      <c r="D29" s="24">
        <v>12450.8</v>
      </c>
      <c r="E29" s="5">
        <v>20645</v>
      </c>
      <c r="F29">
        <v>10482</v>
      </c>
      <c r="G29">
        <v>0</v>
      </c>
      <c r="H29">
        <v>0</v>
      </c>
      <c r="I29">
        <v>0</v>
      </c>
      <c r="J29" s="27">
        <v>0.15182401566389936</v>
      </c>
      <c r="K29" s="27">
        <v>0</v>
      </c>
      <c r="L29" s="27">
        <v>8.0062655160184446E-2</v>
      </c>
      <c r="N29" s="73"/>
      <c r="R29" s="49">
        <v>38240</v>
      </c>
      <c r="S29" s="42">
        <v>74913</v>
      </c>
      <c r="T29">
        <v>20136</v>
      </c>
      <c r="U29">
        <v>951</v>
      </c>
      <c r="V29">
        <v>0</v>
      </c>
      <c r="W29">
        <v>1102</v>
      </c>
      <c r="X29" s="27">
        <v>0.27237300777860657</v>
      </c>
      <c r="Z29" s="73"/>
      <c r="AD29" s="49">
        <v>20068</v>
      </c>
      <c r="AE29">
        <v>37906</v>
      </c>
      <c r="AF29">
        <v>12264</v>
      </c>
      <c r="AG29">
        <v>12833</v>
      </c>
      <c r="AH29">
        <v>0</v>
      </c>
      <c r="AI29">
        <v>0</v>
      </c>
      <c r="AJ29" s="27">
        <v>0.18105840488394109</v>
      </c>
      <c r="AL29" s="73"/>
      <c r="AP29" s="49">
        <v>26261.599999999999</v>
      </c>
      <c r="AQ29">
        <v>43197</v>
      </c>
      <c r="AR29">
        <v>22457</v>
      </c>
      <c r="AS29">
        <v>19258</v>
      </c>
      <c r="AT29">
        <v>0</v>
      </c>
      <c r="AU29">
        <v>0</v>
      </c>
      <c r="AV29" s="27">
        <v>9.1369574844995666E-2</v>
      </c>
      <c r="AX29" s="73"/>
      <c r="BB29" s="49">
        <v>26692.799999999999</v>
      </c>
      <c r="BC29">
        <v>52090</v>
      </c>
      <c r="BD29">
        <v>14642</v>
      </c>
      <c r="BE29">
        <v>0</v>
      </c>
      <c r="BF29">
        <v>0</v>
      </c>
      <c r="BG29">
        <v>0</v>
      </c>
      <c r="BH29" s="27">
        <v>5.470719891208882E-2</v>
      </c>
      <c r="BJ29" s="73"/>
      <c r="BN29" s="49">
        <v>38212.800000000003</v>
      </c>
      <c r="BO29">
        <v>80694</v>
      </c>
      <c r="BP29">
        <v>14838</v>
      </c>
      <c r="BQ29">
        <v>12293</v>
      </c>
      <c r="BR29">
        <v>0</v>
      </c>
      <c r="BS29">
        <v>0</v>
      </c>
      <c r="BT29" s="27">
        <v>6.4869468181951565E-2</v>
      </c>
      <c r="BV29" s="73"/>
      <c r="BZ29" s="49">
        <v>20628</v>
      </c>
      <c r="CA29">
        <v>36826</v>
      </c>
      <c r="CB29">
        <v>14744</v>
      </c>
      <c r="CC29">
        <v>11312</v>
      </c>
      <c r="CD29">
        <v>0</v>
      </c>
      <c r="CE29">
        <v>0</v>
      </c>
      <c r="CF29" s="27">
        <v>3.3817330210772836E-2</v>
      </c>
      <c r="CL29" s="49">
        <v>15820.400000000001</v>
      </c>
      <c r="CM29" s="30">
        <v>23398</v>
      </c>
      <c r="CN29" s="30">
        <v>16153</v>
      </c>
      <c r="CO29">
        <v>9758</v>
      </c>
      <c r="CP29">
        <v>0</v>
      </c>
      <c r="CQ29">
        <v>0</v>
      </c>
      <c r="CR29" s="27">
        <v>0.43633448533865388</v>
      </c>
      <c r="CT29" s="73"/>
      <c r="CW29" s="27">
        <v>0.15182401566389936</v>
      </c>
      <c r="CX29" s="27">
        <v>0</v>
      </c>
    </row>
    <row r="30" spans="1:120" hidden="1" x14ac:dyDescent="0.3">
      <c r="A30" s="14" t="s">
        <v>39</v>
      </c>
      <c r="B30" s="23"/>
      <c r="C30" s="23"/>
      <c r="D30" s="24">
        <v>12374.400000000001</v>
      </c>
      <c r="E30" s="5">
        <v>20587</v>
      </c>
      <c r="F30">
        <v>10349</v>
      </c>
      <c r="G30">
        <v>0</v>
      </c>
      <c r="H30">
        <v>0</v>
      </c>
      <c r="I30">
        <v>0</v>
      </c>
      <c r="J30" s="27">
        <v>0.15334060846405856</v>
      </c>
      <c r="K30" s="27">
        <v>0</v>
      </c>
      <c r="L30" s="27">
        <v>8.5707530440950336E-2</v>
      </c>
      <c r="N30" s="73"/>
      <c r="R30" s="49">
        <v>37793.600000000006</v>
      </c>
      <c r="S30" s="42">
        <v>73857</v>
      </c>
      <c r="T30">
        <v>19990</v>
      </c>
      <c r="U30">
        <v>293</v>
      </c>
      <c r="V30">
        <v>0</v>
      </c>
      <c r="W30">
        <v>1274</v>
      </c>
      <c r="X30" s="27">
        <v>0.28086706346186036</v>
      </c>
      <c r="Z30" s="73"/>
      <c r="AD30" s="49">
        <v>19962.400000000001</v>
      </c>
      <c r="AE30">
        <v>37680</v>
      </c>
      <c r="AF30">
        <v>12226</v>
      </c>
      <c r="AG30">
        <v>12995</v>
      </c>
      <c r="AH30">
        <v>0</v>
      </c>
      <c r="AI30">
        <v>0</v>
      </c>
      <c r="AJ30" s="27">
        <v>0.18536776468283755</v>
      </c>
      <c r="AL30" s="73"/>
      <c r="AP30" s="49">
        <v>26699.599999999999</v>
      </c>
      <c r="AQ30">
        <v>44113</v>
      </c>
      <c r="AR30">
        <v>22636</v>
      </c>
      <c r="AS30">
        <v>15231</v>
      </c>
      <c r="AT30">
        <v>0</v>
      </c>
      <c r="AU30">
        <v>0</v>
      </c>
      <c r="AV30" s="27">
        <v>7.621512400354305E-2</v>
      </c>
      <c r="AX30" s="73"/>
      <c r="BB30" s="49">
        <v>26586</v>
      </c>
      <c r="BC30">
        <v>51740</v>
      </c>
      <c r="BD30">
        <v>14725</v>
      </c>
      <c r="BE30">
        <v>0</v>
      </c>
      <c r="BF30">
        <v>0</v>
      </c>
      <c r="BG30">
        <v>0</v>
      </c>
      <c r="BH30" s="27">
        <v>5.8489390033147244E-2</v>
      </c>
      <c r="BJ30" s="73"/>
      <c r="BN30" s="49">
        <v>38189.200000000004</v>
      </c>
      <c r="BO30">
        <v>80641</v>
      </c>
      <c r="BP30">
        <v>14832</v>
      </c>
      <c r="BQ30">
        <v>12128</v>
      </c>
      <c r="BR30">
        <v>0</v>
      </c>
      <c r="BS30">
        <v>0</v>
      </c>
      <c r="BT30" s="27">
        <v>6.5446999285427479E-2</v>
      </c>
      <c r="BV30" s="73"/>
      <c r="BZ30" s="49">
        <v>20584.400000000001</v>
      </c>
      <c r="CA30">
        <v>36723</v>
      </c>
      <c r="CB30">
        <v>14738</v>
      </c>
      <c r="CC30">
        <v>11299</v>
      </c>
      <c r="CD30">
        <v>0</v>
      </c>
      <c r="CE30">
        <v>0</v>
      </c>
      <c r="CF30" s="27">
        <v>3.5859484777517499E-2</v>
      </c>
      <c r="CL30" s="49">
        <v>15752</v>
      </c>
      <c r="CM30" s="30">
        <v>23235</v>
      </c>
      <c r="CN30" s="29">
        <v>16145</v>
      </c>
      <c r="CO30">
        <v>9766</v>
      </c>
      <c r="CP30">
        <v>0</v>
      </c>
      <c r="CQ30">
        <v>0</v>
      </c>
      <c r="CR30" s="27">
        <v>0.43877151102718492</v>
      </c>
      <c r="CT30" s="73"/>
      <c r="CW30" s="27">
        <v>0.15334060846405856</v>
      </c>
      <c r="CX30" s="27">
        <v>0</v>
      </c>
    </row>
    <row r="31" spans="1:120" hidden="1" x14ac:dyDescent="0.3">
      <c r="A31" s="14" t="s">
        <v>39</v>
      </c>
      <c r="B31" s="23"/>
      <c r="C31" s="23"/>
      <c r="D31" s="24">
        <v>12390.8</v>
      </c>
      <c r="E31" s="5">
        <v>20621</v>
      </c>
      <c r="F31">
        <v>10356</v>
      </c>
      <c r="G31">
        <v>0</v>
      </c>
      <c r="H31">
        <v>0</v>
      </c>
      <c r="I31">
        <v>0</v>
      </c>
      <c r="J31" s="27">
        <v>0.15249706832572577</v>
      </c>
      <c r="K31" s="27">
        <v>0</v>
      </c>
      <c r="L31" s="27">
        <v>8.4495803286440505E-2</v>
      </c>
      <c r="N31" s="73"/>
      <c r="R31" s="49">
        <v>38483.599999999999</v>
      </c>
      <c r="S31" s="42">
        <v>75521</v>
      </c>
      <c r="T31">
        <v>20324</v>
      </c>
      <c r="U31">
        <v>315</v>
      </c>
      <c r="V31">
        <v>0</v>
      </c>
      <c r="W31">
        <v>728</v>
      </c>
      <c r="X31" s="27">
        <v>0.26773781072564812</v>
      </c>
      <c r="Z31" s="73"/>
      <c r="AD31" s="49">
        <v>19962.400000000001</v>
      </c>
      <c r="AE31">
        <v>37680</v>
      </c>
      <c r="AF31">
        <v>12226</v>
      </c>
      <c r="AG31">
        <v>11897</v>
      </c>
      <c r="AH31">
        <v>0</v>
      </c>
      <c r="AI31">
        <v>0</v>
      </c>
      <c r="AJ31" s="27">
        <v>0.18536776468283755</v>
      </c>
      <c r="AL31" s="73"/>
      <c r="AP31" s="49">
        <v>26653.200000000004</v>
      </c>
      <c r="AQ31">
        <v>44006</v>
      </c>
      <c r="AR31">
        <v>22627</v>
      </c>
      <c r="AS31">
        <v>16068</v>
      </c>
      <c r="AT31">
        <v>0</v>
      </c>
      <c r="AU31">
        <v>0</v>
      </c>
      <c r="AV31" s="27">
        <v>7.782052701505747E-2</v>
      </c>
      <c r="AX31" s="73"/>
      <c r="BB31" s="49">
        <v>26621.600000000002</v>
      </c>
      <c r="BC31">
        <v>51892</v>
      </c>
      <c r="BD31">
        <v>14662</v>
      </c>
      <c r="BE31">
        <v>0</v>
      </c>
      <c r="BF31">
        <v>0</v>
      </c>
      <c r="BG31">
        <v>0</v>
      </c>
      <c r="BH31" s="27">
        <v>5.7228659659461015E-2</v>
      </c>
      <c r="BJ31" s="73"/>
      <c r="BN31" s="49">
        <v>38189.200000000004</v>
      </c>
      <c r="BO31">
        <v>80641</v>
      </c>
      <c r="BP31">
        <v>14832</v>
      </c>
      <c r="BQ31">
        <v>12265</v>
      </c>
      <c r="BR31">
        <v>0</v>
      </c>
      <c r="BS31">
        <v>0</v>
      </c>
      <c r="BT31" s="27">
        <v>6.5446999285427479E-2</v>
      </c>
      <c r="BV31" s="73"/>
      <c r="BZ31" s="49">
        <v>20582.400000000001</v>
      </c>
      <c r="CA31">
        <v>36718</v>
      </c>
      <c r="CB31">
        <v>14738</v>
      </c>
      <c r="CC31">
        <v>11318</v>
      </c>
      <c r="CD31">
        <v>0</v>
      </c>
      <c r="CE31">
        <v>0</v>
      </c>
      <c r="CF31" s="27">
        <v>3.5953161592505785E-2</v>
      </c>
      <c r="CL31" s="49">
        <v>15551.2</v>
      </c>
      <c r="CM31" s="29">
        <v>22757</v>
      </c>
      <c r="CN31" s="29">
        <v>16121</v>
      </c>
      <c r="CO31">
        <v>10216</v>
      </c>
      <c r="CP31">
        <v>0</v>
      </c>
      <c r="CQ31">
        <v>0</v>
      </c>
      <c r="CR31" s="27">
        <v>0.44592582035842804</v>
      </c>
      <c r="CT31" s="73"/>
      <c r="CW31" s="27">
        <v>0.15249706832572577</v>
      </c>
      <c r="CX31" s="27">
        <v>0</v>
      </c>
    </row>
    <row r="32" spans="1:120" s="4" customFormat="1" ht="15" thickBot="1" x14ac:dyDescent="0.35">
      <c r="A32" s="78" t="s">
        <v>39</v>
      </c>
      <c r="B32" s="41" t="s">
        <v>45</v>
      </c>
      <c r="C32" s="41">
        <v>22829</v>
      </c>
      <c r="D32" s="32">
        <v>12416.88</v>
      </c>
      <c r="E32" s="35">
        <v>20591</v>
      </c>
      <c r="F32" s="36">
        <v>10451.200000000001</v>
      </c>
      <c r="G32" s="33">
        <v>0</v>
      </c>
      <c r="H32" s="33">
        <v>0</v>
      </c>
      <c r="I32" s="33">
        <v>0</v>
      </c>
      <c r="J32" s="86">
        <v>0.15198038266293645</v>
      </c>
      <c r="K32" s="86">
        <v>3.6663329760039938E-3</v>
      </c>
      <c r="L32" s="83">
        <v>8.2568861567561214E-2</v>
      </c>
      <c r="M32" s="83">
        <v>2.4384911753988488E-3</v>
      </c>
      <c r="N32" s="73">
        <v>9.8033203381663672E-2</v>
      </c>
      <c r="O32" s="27" t="e">
        <v>#DIV/0!</v>
      </c>
      <c r="P32">
        <v>52554.400000000001</v>
      </c>
      <c r="Q32" s="26">
        <v>81057</v>
      </c>
      <c r="R32" s="49">
        <v>38397</v>
      </c>
      <c r="S32">
        <v>75351.399999999994</v>
      </c>
      <c r="T32">
        <v>20283.599999999999</v>
      </c>
      <c r="U32">
        <v>776.6</v>
      </c>
      <c r="V32">
        <v>0</v>
      </c>
      <c r="W32">
        <v>715</v>
      </c>
      <c r="X32" s="27">
        <v>0.26938562708355535</v>
      </c>
      <c r="Y32" s="27">
        <v>7.5323936711245432E-3</v>
      </c>
      <c r="Z32" s="73">
        <v>7.0389972488495822E-2</v>
      </c>
      <c r="AA32" s="27" t="e">
        <v>#DIV/0!</v>
      </c>
      <c r="AB32">
        <v>24504.799999999999</v>
      </c>
      <c r="AC32">
        <v>48120</v>
      </c>
      <c r="AD32" s="49">
        <v>19983.52</v>
      </c>
      <c r="AE32">
        <v>37725.199999999997</v>
      </c>
      <c r="AF32">
        <v>12233.6</v>
      </c>
      <c r="AG32">
        <v>12258.2</v>
      </c>
      <c r="AH32">
        <v>0</v>
      </c>
      <c r="AI32">
        <v>0</v>
      </c>
      <c r="AJ32" s="83">
        <v>0.18450589272305828</v>
      </c>
      <c r="AK32" s="83">
        <v>1.9272042899674622E-3</v>
      </c>
      <c r="AL32" s="73">
        <v>0.21601828761429764</v>
      </c>
      <c r="AM32" s="27" t="e">
        <v>#DIV/0!</v>
      </c>
      <c r="AN32">
        <v>28902.400000000001</v>
      </c>
      <c r="AO32">
        <v>48676</v>
      </c>
      <c r="AP32" s="49">
        <v>26515.599999999999</v>
      </c>
      <c r="AQ32">
        <v>43723.4</v>
      </c>
      <c r="AR32">
        <v>22565.599999999999</v>
      </c>
      <c r="AS32">
        <v>17168</v>
      </c>
      <c r="AT32">
        <v>0</v>
      </c>
      <c r="AU32">
        <v>0</v>
      </c>
      <c r="AV32" s="83">
        <v>8.2581377325066527E-2</v>
      </c>
      <c r="AW32" s="83">
        <v>7.6640537923124011E-3</v>
      </c>
      <c r="AX32" s="73">
        <v>0.10174624044703752</v>
      </c>
      <c r="AY32" s="27" t="e">
        <v>#DIV/0!</v>
      </c>
      <c r="AZ32">
        <v>28237.599999999999</v>
      </c>
      <c r="BA32">
        <v>55474</v>
      </c>
      <c r="BB32" s="49">
        <v>26665.200000000001</v>
      </c>
      <c r="BC32">
        <v>51997</v>
      </c>
      <c r="BD32">
        <v>14666</v>
      </c>
      <c r="BE32">
        <v>0</v>
      </c>
      <c r="BF32">
        <v>0</v>
      </c>
      <c r="BG32">
        <v>0</v>
      </c>
      <c r="BH32" s="27">
        <v>5.5684619089440952E-2</v>
      </c>
      <c r="BI32" s="84">
        <v>2.1149822484448112E-3</v>
      </c>
      <c r="BJ32" s="73">
        <v>6.2678011320618662E-2</v>
      </c>
      <c r="BK32" s="27" t="e">
        <v>#DIV/0!</v>
      </c>
      <c r="BL32">
        <v>40863.599999999999</v>
      </c>
      <c r="BM32">
        <v>86423</v>
      </c>
      <c r="BN32" s="49">
        <v>38196.000000000007</v>
      </c>
      <c r="BO32">
        <v>80655.8</v>
      </c>
      <c r="BP32">
        <v>14834.2</v>
      </c>
      <c r="BQ32">
        <v>12197.8</v>
      </c>
      <c r="BR32">
        <v>0</v>
      </c>
      <c r="BS32">
        <v>0</v>
      </c>
      <c r="BT32" s="83">
        <v>6.528059201832416E-2</v>
      </c>
      <c r="BU32" s="83">
        <v>2.5488144101431891E-4</v>
      </c>
      <c r="BV32" s="73">
        <v>6.6732235631718373E-2</v>
      </c>
      <c r="BW32" s="27" t="e">
        <v>#DIV/0!</v>
      </c>
      <c r="BX32">
        <v>21354</v>
      </c>
      <c r="BY32">
        <v>38534</v>
      </c>
      <c r="BZ32" s="49">
        <v>20582</v>
      </c>
      <c r="CA32">
        <v>36717</v>
      </c>
      <c r="CB32">
        <v>14738</v>
      </c>
      <c r="CC32">
        <v>11310.4</v>
      </c>
      <c r="CD32">
        <v>0</v>
      </c>
      <c r="CE32">
        <v>0</v>
      </c>
      <c r="CF32" s="27">
        <v>3.6152477287627612E-2</v>
      </c>
      <c r="CG32" s="27">
        <v>3.73431575907006E-3</v>
      </c>
      <c r="CH32" s="27" t="e">
        <v>#DIV/0!</v>
      </c>
      <c r="CI32">
        <v>18543.2</v>
      </c>
      <c r="CJ32">
        <v>28067</v>
      </c>
      <c r="CK32">
        <v>28067</v>
      </c>
      <c r="CL32" s="49">
        <v>15726.4</v>
      </c>
      <c r="CM32">
        <v>23174</v>
      </c>
      <c r="CN32">
        <v>16142</v>
      </c>
      <c r="CO32">
        <v>9894.2000000000007</v>
      </c>
      <c r="CP32">
        <v>0</v>
      </c>
      <c r="CQ32">
        <v>0</v>
      </c>
      <c r="CR32" s="27">
        <v>0.43968361420885738</v>
      </c>
      <c r="CS32" s="27">
        <v>3.6643414306995101E-3</v>
      </c>
      <c r="CT32" s="73">
        <v>0.17433284640324936</v>
      </c>
      <c r="CU32" s="27" t="e">
        <v>#DIV/0!</v>
      </c>
      <c r="CV32"/>
      <c r="CW32" s="79">
        <v>0.15198038266293645</v>
      </c>
      <c r="CX32" s="79">
        <v>3.6663329760039938E-3</v>
      </c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</row>
    <row r="33" spans="1:102" x14ac:dyDescent="0.3">
      <c r="A33" s="2"/>
      <c r="B33" s="2"/>
      <c r="C33" s="2"/>
      <c r="D33" s="2"/>
      <c r="J33" s="27"/>
      <c r="K33" s="27"/>
      <c r="R33" s="2"/>
      <c r="AF33" s="1"/>
      <c r="AG33" s="1"/>
      <c r="CW33" s="27"/>
      <c r="CX33" s="27"/>
    </row>
    <row r="34" spans="1:102" x14ac:dyDescent="0.3">
      <c r="A34" s="2"/>
      <c r="B34" s="2"/>
      <c r="C34" s="2"/>
      <c r="D34" s="2"/>
      <c r="J34" s="27"/>
      <c r="K34" s="27"/>
      <c r="R34" s="2"/>
      <c r="AF34" s="1"/>
      <c r="AG34" s="1"/>
      <c r="BX34" s="6"/>
      <c r="CW34" s="27"/>
      <c r="CX34" s="27"/>
    </row>
    <row r="35" spans="1:102" x14ac:dyDescent="0.3">
      <c r="A35" s="3"/>
      <c r="B35" s="3"/>
      <c r="C35" s="3"/>
      <c r="D35" s="3"/>
      <c r="J35" s="27"/>
      <c r="K35" s="27"/>
      <c r="R35" s="3"/>
      <c r="AF35" s="1"/>
      <c r="AG35" s="1"/>
      <c r="BX35" s="6"/>
      <c r="CW35" s="27"/>
      <c r="CX35" s="27"/>
    </row>
    <row r="36" spans="1:102" x14ac:dyDescent="0.3">
      <c r="J36" s="27"/>
      <c r="K36" s="27"/>
      <c r="AF36" s="1"/>
      <c r="AG36" s="1"/>
      <c r="BX36" s="6"/>
      <c r="CW36" s="27"/>
      <c r="CX36" s="27"/>
    </row>
    <row r="37" spans="1:102" x14ac:dyDescent="0.3">
      <c r="J37" s="27"/>
      <c r="K37" s="27"/>
      <c r="AF37" s="1"/>
      <c r="AG37" s="1"/>
      <c r="BX37" s="6"/>
      <c r="CW37" s="27"/>
      <c r="CX37" s="27"/>
    </row>
    <row r="38" spans="1:102" x14ac:dyDescent="0.3">
      <c r="J38" s="27"/>
      <c r="K38" s="27"/>
      <c r="AF38" s="1"/>
      <c r="AG38" s="1"/>
      <c r="BX38" s="6"/>
      <c r="CG38" s="83"/>
      <c r="CW38" s="27"/>
      <c r="CX38" s="27"/>
    </row>
    <row r="48" spans="1:102" x14ac:dyDescent="0.3">
      <c r="A48" s="2"/>
      <c r="B48" s="2"/>
      <c r="C48" s="2"/>
      <c r="D48" s="2"/>
      <c r="R48" s="2"/>
    </row>
  </sheetData>
  <mergeCells count="8">
    <mergeCell ref="L1:M1"/>
    <mergeCell ref="P1:AA1"/>
    <mergeCell ref="AB1:AM1"/>
    <mergeCell ref="BX1:CI1"/>
    <mergeCell ref="CJ1:CU1"/>
    <mergeCell ref="AN1:AY1"/>
    <mergeCell ref="AZ1:BK1"/>
    <mergeCell ref="BL1:BW1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86919-7310-4910-8F72-8B9D19B2C3A9}">
  <dimension ref="A1:GY38"/>
  <sheetViews>
    <sheetView topLeftCell="X1" zoomScale="70" zoomScaleNormal="70" workbookViewId="0">
      <selection activeCell="AV34" sqref="AV34"/>
    </sheetView>
  </sheetViews>
  <sheetFormatPr defaultRowHeight="14.4" x14ac:dyDescent="0.3"/>
  <cols>
    <col min="1" max="1" width="23.88671875" customWidth="1"/>
    <col min="2" max="3" width="12.77734375" hidden="1" customWidth="1"/>
    <col min="4" max="4" width="21.88671875" hidden="1" customWidth="1"/>
    <col min="5" max="5" width="12.33203125" hidden="1" customWidth="1"/>
    <col min="6" max="6" width="8.77734375" hidden="1" customWidth="1"/>
    <col min="7" max="7" width="15.5546875" hidden="1" customWidth="1"/>
    <col min="8" max="8" width="17.5546875" hidden="1" customWidth="1"/>
    <col min="9" max="9" width="17" hidden="1" customWidth="1"/>
    <col min="10" max="10" width="20.109375" customWidth="1"/>
    <col min="11" max="11" width="12.33203125" customWidth="1"/>
    <col min="12" max="12" width="17" style="27" customWidth="1"/>
    <col min="13" max="13" width="17" customWidth="1"/>
    <col min="14" max="14" width="17" style="46" hidden="1" customWidth="1"/>
    <col min="15" max="17" width="17" hidden="1" customWidth="1"/>
    <col min="18" max="18" width="13.5546875" hidden="1" customWidth="1"/>
    <col min="19" max="19" width="12.33203125" hidden="1" customWidth="1"/>
    <col min="20" max="20" width="8.77734375" hidden="1" customWidth="1"/>
    <col min="21" max="21" width="15.5546875" hidden="1" customWidth="1"/>
    <col min="22" max="22" width="17.5546875" hidden="1" customWidth="1"/>
    <col min="23" max="23" width="17" hidden="1" customWidth="1"/>
    <col min="24" max="25" width="17" customWidth="1"/>
    <col min="26" max="30" width="17" hidden="1" customWidth="1"/>
    <col min="31" max="31" width="12.33203125" hidden="1" customWidth="1"/>
    <col min="32" max="32" width="8.77734375" hidden="1" customWidth="1"/>
    <col min="33" max="33" width="15.5546875" hidden="1" customWidth="1"/>
    <col min="34" max="34" width="17.5546875" hidden="1" customWidth="1"/>
    <col min="35" max="35" width="17" hidden="1" customWidth="1"/>
    <col min="36" max="37" width="17" customWidth="1"/>
    <col min="38" max="42" width="17" hidden="1" customWidth="1"/>
    <col min="43" max="43" width="12.33203125" hidden="1" customWidth="1"/>
    <col min="44" max="44" width="8.77734375" hidden="1" customWidth="1"/>
    <col min="45" max="45" width="15.5546875" hidden="1" customWidth="1"/>
    <col min="46" max="46" width="17.5546875" hidden="1" customWidth="1"/>
    <col min="47" max="47" width="17" hidden="1" customWidth="1"/>
    <col min="48" max="49" width="17" customWidth="1"/>
    <col min="50" max="54" width="17" hidden="1" customWidth="1"/>
    <col min="55" max="55" width="12.33203125" hidden="1" customWidth="1"/>
    <col min="56" max="56" width="8.77734375" hidden="1" customWidth="1"/>
    <col min="57" max="57" width="15.5546875" hidden="1" customWidth="1"/>
    <col min="58" max="58" width="17.5546875" hidden="1" customWidth="1"/>
    <col min="59" max="59" width="17" hidden="1" customWidth="1"/>
    <col min="60" max="61" width="17" customWidth="1"/>
    <col min="62" max="66" width="17" hidden="1" customWidth="1"/>
    <col min="67" max="67" width="12.33203125" hidden="1" customWidth="1"/>
    <col min="68" max="68" width="8.77734375" hidden="1" customWidth="1"/>
    <col min="69" max="69" width="15.5546875" hidden="1" customWidth="1"/>
    <col min="70" max="70" width="17.5546875" hidden="1" customWidth="1"/>
    <col min="71" max="71" width="17" hidden="1" customWidth="1"/>
    <col min="72" max="73" width="17" customWidth="1"/>
    <col min="74" max="78" width="17" hidden="1" customWidth="1"/>
    <col min="79" max="79" width="12.33203125" hidden="1" customWidth="1"/>
    <col min="80" max="80" width="8.77734375" hidden="1" customWidth="1"/>
    <col min="81" max="81" width="15.5546875" hidden="1" customWidth="1"/>
    <col min="82" max="82" width="17.5546875" hidden="1" customWidth="1"/>
    <col min="83" max="83" width="17" hidden="1" customWidth="1"/>
    <col min="84" max="85" width="17" customWidth="1"/>
    <col min="86" max="90" width="17" hidden="1" customWidth="1"/>
    <col min="91" max="91" width="12.33203125" hidden="1" customWidth="1"/>
    <col min="92" max="92" width="8.77734375" hidden="1" customWidth="1"/>
    <col min="93" max="93" width="15.5546875" hidden="1" customWidth="1"/>
    <col min="94" max="94" width="17.5546875" hidden="1" customWidth="1"/>
    <col min="95" max="95" width="17" hidden="1" customWidth="1"/>
    <col min="96" max="97" width="17" customWidth="1"/>
    <col min="98" max="99" width="17" hidden="1" customWidth="1"/>
    <col min="100" max="100" width="7.109375" bestFit="1" customWidth="1"/>
    <col min="101" max="101" width="20.109375" customWidth="1"/>
    <col min="102" max="102" width="12.33203125" customWidth="1"/>
    <col min="103" max="207" width="7.109375" bestFit="1" customWidth="1"/>
  </cols>
  <sheetData>
    <row r="1" spans="1:207" ht="15" customHeight="1" thickBot="1" x14ac:dyDescent="0.35">
      <c r="A1" s="13" t="s">
        <v>58</v>
      </c>
      <c r="B1" s="93" t="s">
        <v>24</v>
      </c>
      <c r="C1" s="94"/>
      <c r="D1" s="94"/>
      <c r="E1" s="94"/>
      <c r="F1" s="94"/>
      <c r="G1" s="94"/>
      <c r="H1" s="94"/>
      <c r="I1" s="94"/>
      <c r="J1" s="96"/>
      <c r="K1" s="96"/>
      <c r="L1" s="135" t="s">
        <v>24</v>
      </c>
      <c r="M1" s="135"/>
      <c r="N1" s="94"/>
      <c r="O1" s="95"/>
      <c r="P1" s="139" t="s">
        <v>4</v>
      </c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7"/>
      <c r="AB1" s="135" t="s">
        <v>5</v>
      </c>
      <c r="AC1" s="135"/>
      <c r="AD1" s="135"/>
      <c r="AE1" s="135"/>
      <c r="AF1" s="135"/>
      <c r="AG1" s="135"/>
      <c r="AH1" s="135"/>
      <c r="AI1" s="135"/>
      <c r="AJ1" s="135"/>
      <c r="AK1" s="135"/>
      <c r="AL1" s="135"/>
      <c r="AM1" s="135"/>
      <c r="AN1" s="136" t="s">
        <v>1</v>
      </c>
      <c r="AO1" s="136"/>
      <c r="AP1" s="136"/>
      <c r="AQ1" s="136"/>
      <c r="AR1" s="136"/>
      <c r="AS1" s="136"/>
      <c r="AT1" s="136"/>
      <c r="AU1" s="136"/>
      <c r="AV1" s="136"/>
      <c r="AW1" s="136"/>
      <c r="AX1" s="136"/>
      <c r="AY1" s="136"/>
      <c r="AZ1" s="135" t="s">
        <v>2</v>
      </c>
      <c r="BA1" s="135"/>
      <c r="BB1" s="135"/>
      <c r="BC1" s="135"/>
      <c r="BD1" s="135"/>
      <c r="BE1" s="135"/>
      <c r="BF1" s="135"/>
      <c r="BG1" s="135"/>
      <c r="BH1" s="135"/>
      <c r="BI1" s="135"/>
      <c r="BJ1" s="135"/>
      <c r="BK1" s="135"/>
      <c r="BL1" s="136" t="s">
        <v>16</v>
      </c>
      <c r="BM1" s="136"/>
      <c r="BN1" s="136"/>
      <c r="BO1" s="136"/>
      <c r="BP1" s="136"/>
      <c r="BQ1" s="136"/>
      <c r="BR1" s="136"/>
      <c r="BS1" s="136"/>
      <c r="BT1" s="136"/>
      <c r="BU1" s="136"/>
      <c r="BV1" s="136"/>
      <c r="BW1" s="137"/>
      <c r="BX1" s="138" t="s">
        <v>3</v>
      </c>
      <c r="BY1" s="135"/>
      <c r="BZ1" s="135"/>
      <c r="CA1" s="135"/>
      <c r="CB1" s="135"/>
      <c r="CC1" s="135"/>
      <c r="CD1" s="135"/>
      <c r="CE1" s="135"/>
      <c r="CF1" s="135"/>
      <c r="CG1" s="135"/>
      <c r="CH1" s="135"/>
      <c r="CI1" s="135"/>
      <c r="CJ1" s="136" t="s">
        <v>17</v>
      </c>
      <c r="CK1" s="136"/>
      <c r="CL1" s="136"/>
      <c r="CM1" s="136"/>
      <c r="CN1" s="136"/>
      <c r="CO1" s="136"/>
      <c r="CP1" s="136"/>
      <c r="CQ1" s="136"/>
      <c r="CR1" s="136"/>
      <c r="CS1" s="136"/>
      <c r="CT1" s="136"/>
      <c r="CU1" s="137"/>
    </row>
    <row r="2" spans="1:207" ht="15" thickBot="1" x14ac:dyDescent="0.35">
      <c r="A2" s="13" t="s">
        <v>62</v>
      </c>
      <c r="B2" s="17" t="s">
        <v>23</v>
      </c>
      <c r="C2" s="17" t="s">
        <v>46</v>
      </c>
      <c r="D2" s="10" t="s">
        <v>20</v>
      </c>
      <c r="E2" s="10" t="s">
        <v>11</v>
      </c>
      <c r="F2" s="11" t="s">
        <v>12</v>
      </c>
      <c r="G2" s="11" t="s">
        <v>13</v>
      </c>
      <c r="H2" s="11" t="s">
        <v>14</v>
      </c>
      <c r="I2" s="12" t="s">
        <v>15</v>
      </c>
      <c r="J2" s="90" t="s">
        <v>56</v>
      </c>
      <c r="K2" s="90" t="s">
        <v>57</v>
      </c>
      <c r="L2" s="44" t="s">
        <v>21</v>
      </c>
      <c r="M2" s="11" t="s">
        <v>19</v>
      </c>
      <c r="N2" s="47" t="s">
        <v>22</v>
      </c>
      <c r="O2" s="12" t="s">
        <v>18</v>
      </c>
      <c r="P2" s="17" t="s">
        <v>23</v>
      </c>
      <c r="Q2" s="17" t="s">
        <v>46</v>
      </c>
      <c r="R2" s="10" t="s">
        <v>20</v>
      </c>
      <c r="S2" s="10" t="s">
        <v>11</v>
      </c>
      <c r="T2" s="11" t="s">
        <v>12</v>
      </c>
      <c r="U2" s="11" t="s">
        <v>13</v>
      </c>
      <c r="V2" s="11" t="s">
        <v>14</v>
      </c>
      <c r="W2" s="12" t="s">
        <v>15</v>
      </c>
      <c r="X2" s="11" t="s">
        <v>21</v>
      </c>
      <c r="Y2" s="11" t="s">
        <v>19</v>
      </c>
      <c r="Z2" s="11" t="s">
        <v>22</v>
      </c>
      <c r="AA2" s="12" t="s">
        <v>18</v>
      </c>
      <c r="AB2" s="17" t="s">
        <v>23</v>
      </c>
      <c r="AC2" s="17" t="s">
        <v>46</v>
      </c>
      <c r="AD2" s="10" t="s">
        <v>20</v>
      </c>
      <c r="AE2" s="10" t="s">
        <v>11</v>
      </c>
      <c r="AF2" s="11" t="s">
        <v>12</v>
      </c>
      <c r="AG2" s="11" t="s">
        <v>13</v>
      </c>
      <c r="AH2" s="11" t="s">
        <v>14</v>
      </c>
      <c r="AI2" s="12" t="s">
        <v>15</v>
      </c>
      <c r="AJ2" s="11" t="s">
        <v>21</v>
      </c>
      <c r="AK2" s="11" t="s">
        <v>19</v>
      </c>
      <c r="AL2" s="11" t="s">
        <v>22</v>
      </c>
      <c r="AM2" s="12" t="s">
        <v>18</v>
      </c>
      <c r="AN2" s="17" t="s">
        <v>23</v>
      </c>
      <c r="AO2" s="17" t="s">
        <v>46</v>
      </c>
      <c r="AP2" s="10" t="s">
        <v>20</v>
      </c>
      <c r="AQ2" s="10" t="s">
        <v>11</v>
      </c>
      <c r="AR2" s="11" t="s">
        <v>12</v>
      </c>
      <c r="AS2" s="11" t="s">
        <v>13</v>
      </c>
      <c r="AT2" s="11" t="s">
        <v>14</v>
      </c>
      <c r="AU2" s="12" t="s">
        <v>15</v>
      </c>
      <c r="AV2" s="11" t="s">
        <v>21</v>
      </c>
      <c r="AW2" s="11" t="s">
        <v>19</v>
      </c>
      <c r="AX2" s="11" t="s">
        <v>22</v>
      </c>
      <c r="AY2" s="12" t="s">
        <v>18</v>
      </c>
      <c r="AZ2" s="17" t="s">
        <v>23</v>
      </c>
      <c r="BA2" s="17" t="s">
        <v>46</v>
      </c>
      <c r="BB2" s="10" t="s">
        <v>20</v>
      </c>
      <c r="BC2" s="10" t="s">
        <v>11</v>
      </c>
      <c r="BD2" s="11" t="s">
        <v>12</v>
      </c>
      <c r="BE2" s="11" t="s">
        <v>13</v>
      </c>
      <c r="BF2" s="11" t="s">
        <v>14</v>
      </c>
      <c r="BG2" s="12" t="s">
        <v>15</v>
      </c>
      <c r="BH2" s="11" t="s">
        <v>21</v>
      </c>
      <c r="BI2" s="11" t="s">
        <v>19</v>
      </c>
      <c r="BJ2" s="11" t="s">
        <v>22</v>
      </c>
      <c r="BK2" s="12" t="s">
        <v>18</v>
      </c>
      <c r="BL2" s="17" t="s">
        <v>23</v>
      </c>
      <c r="BM2" s="17" t="s">
        <v>46</v>
      </c>
      <c r="BN2" s="10" t="s">
        <v>20</v>
      </c>
      <c r="BO2" s="10" t="s">
        <v>11</v>
      </c>
      <c r="BP2" s="11" t="s">
        <v>12</v>
      </c>
      <c r="BQ2" s="11" t="s">
        <v>13</v>
      </c>
      <c r="BR2" s="11" t="s">
        <v>14</v>
      </c>
      <c r="BS2" s="12" t="s">
        <v>15</v>
      </c>
      <c r="BT2" s="11" t="s">
        <v>21</v>
      </c>
      <c r="BU2" s="11" t="s">
        <v>19</v>
      </c>
      <c r="BV2" s="11" t="s">
        <v>22</v>
      </c>
      <c r="BW2" s="12" t="s">
        <v>18</v>
      </c>
      <c r="BX2" s="17" t="s">
        <v>23</v>
      </c>
      <c r="BY2" s="17" t="s">
        <v>46</v>
      </c>
      <c r="BZ2" s="10" t="s">
        <v>20</v>
      </c>
      <c r="CA2" s="10" t="s">
        <v>11</v>
      </c>
      <c r="CB2" s="11" t="s">
        <v>12</v>
      </c>
      <c r="CC2" s="11" t="s">
        <v>13</v>
      </c>
      <c r="CD2" s="11" t="s">
        <v>14</v>
      </c>
      <c r="CE2" s="12" t="s">
        <v>15</v>
      </c>
      <c r="CF2" s="11" t="s">
        <v>21</v>
      </c>
      <c r="CG2" s="11" t="s">
        <v>19</v>
      </c>
      <c r="CH2" s="11" t="s">
        <v>22</v>
      </c>
      <c r="CI2" s="12" t="s">
        <v>18</v>
      </c>
      <c r="CJ2" s="17" t="s">
        <v>23</v>
      </c>
      <c r="CK2" s="17" t="s">
        <v>46</v>
      </c>
      <c r="CL2" s="10" t="s">
        <v>20</v>
      </c>
      <c r="CM2" s="10" t="s">
        <v>11</v>
      </c>
      <c r="CN2" s="11" t="s">
        <v>12</v>
      </c>
      <c r="CO2" s="11" t="s">
        <v>13</v>
      </c>
      <c r="CP2" s="11" t="s">
        <v>14</v>
      </c>
      <c r="CQ2" s="12" t="s">
        <v>15</v>
      </c>
      <c r="CR2" s="11" t="s">
        <v>21</v>
      </c>
      <c r="CS2" s="11" t="s">
        <v>19</v>
      </c>
      <c r="CT2" s="11" t="s">
        <v>22</v>
      </c>
      <c r="CU2" s="12" t="s">
        <v>18</v>
      </c>
      <c r="CW2" s="72" t="s">
        <v>53</v>
      </c>
      <c r="CX2" s="72" t="s">
        <v>54</v>
      </c>
    </row>
    <row r="3" spans="1:207" ht="16.8" hidden="1" customHeight="1" thickBot="1" x14ac:dyDescent="0.3">
      <c r="A3" s="150" t="s">
        <v>47</v>
      </c>
      <c r="B3" s="23"/>
      <c r="C3" s="23"/>
      <c r="D3" s="24">
        <f>0.4 * E3 + 0.4 * F3 + 0.2 * I3</f>
        <v>12814.4</v>
      </c>
      <c r="E3" s="28">
        <v>21666</v>
      </c>
      <c r="F3">
        <v>10370</v>
      </c>
      <c r="G3">
        <v>0</v>
      </c>
      <c r="H3">
        <v>0</v>
      </c>
      <c r="I3" s="6">
        <v>0</v>
      </c>
      <c r="L3" s="45">
        <f>($B$8-D3)/$P$8</f>
        <v>1.3693520886615523E-2</v>
      </c>
      <c r="M3" s="21"/>
      <c r="N3" s="48"/>
      <c r="O3" s="22"/>
      <c r="R3" s="24">
        <f>0.4 *S3 + 0.4 * T3 + 0.2 * W3</f>
        <v>38311.800000000003</v>
      </c>
      <c r="S3" s="5">
        <v>74892</v>
      </c>
      <c r="T3">
        <v>20155</v>
      </c>
      <c r="U3">
        <v>474</v>
      </c>
      <c r="V3">
        <v>0</v>
      </c>
      <c r="W3" s="6">
        <v>1465</v>
      </c>
      <c r="X3" s="45">
        <f>($P$8-R3)/$P$8</f>
        <v>0.27095131530873218</v>
      </c>
      <c r="Y3" s="21"/>
      <c r="Z3" s="48"/>
      <c r="AA3" s="22"/>
      <c r="AB3" s="6"/>
      <c r="AD3" s="24">
        <f>0.4 * AE3 + 0.4 * AF3 + 0.2 * AI3</f>
        <v>20068</v>
      </c>
      <c r="AE3" s="5">
        <v>37906</v>
      </c>
      <c r="AF3">
        <v>12264</v>
      </c>
      <c r="AG3">
        <v>12833</v>
      </c>
      <c r="AH3">
        <v>0</v>
      </c>
      <c r="AI3">
        <v>0</v>
      </c>
      <c r="AJ3" s="45">
        <f>($AB$8-AD3)/$AB$8</f>
        <v>0.18092470449944489</v>
      </c>
      <c r="AK3" s="21"/>
      <c r="AL3" s="48"/>
      <c r="AM3" s="22"/>
      <c r="AN3" s="6"/>
      <c r="AP3" s="24">
        <f>0.4 * AQ3 + 0.4 * AR3 + 0.2 * AU3</f>
        <v>26398</v>
      </c>
      <c r="AQ3">
        <v>43473</v>
      </c>
      <c r="AR3">
        <v>22522</v>
      </c>
      <c r="AS3">
        <v>20267</v>
      </c>
      <c r="AT3">
        <v>0</v>
      </c>
      <c r="AU3">
        <v>0</v>
      </c>
      <c r="AV3" s="45">
        <f>($AN$8-AP3)/$AN$8</f>
        <v>8.6523821388035368E-2</v>
      </c>
      <c r="AW3" s="21"/>
      <c r="AX3" s="48"/>
      <c r="AY3" s="22"/>
      <c r="AZ3" s="6"/>
      <c r="BB3" s="24">
        <f>0.4 * BC3 + 0.4 * BD3 + 0.2 * BG3</f>
        <v>26816.000000000004</v>
      </c>
      <c r="BC3" s="5">
        <v>52372</v>
      </c>
      <c r="BD3">
        <v>14668</v>
      </c>
      <c r="BE3">
        <v>0</v>
      </c>
      <c r="BF3">
        <v>0</v>
      </c>
      <c r="BG3">
        <v>0</v>
      </c>
      <c r="BH3" s="45">
        <f>($AZ$8-BB3)/$AZ$8</f>
        <v>5.0209679247421334E-2</v>
      </c>
      <c r="BI3" s="21"/>
      <c r="BJ3" s="48"/>
      <c r="BK3" s="22"/>
      <c r="BL3" s="6"/>
      <c r="BN3" s="24">
        <f>0.4 * BO3 + 0.4 * BP3 + 0.2 * BS3</f>
        <v>38200</v>
      </c>
      <c r="BO3">
        <v>80662</v>
      </c>
      <c r="BP3">
        <v>14838</v>
      </c>
      <c r="BQ3">
        <v>12148</v>
      </c>
      <c r="BR3">
        <v>0</v>
      </c>
      <c r="BS3">
        <v>0</v>
      </c>
      <c r="BT3" s="45">
        <f>($BL$8-BN3)/$BL$8</f>
        <v>6.5091190320022682E-2</v>
      </c>
      <c r="BU3" s="21"/>
      <c r="BV3" s="48"/>
      <c r="BW3" s="22"/>
      <c r="BX3" s="6"/>
      <c r="BZ3" s="24">
        <f>0.4 * CA3 + 0.4 * CB3 + 0.2 * CE3</f>
        <v>20538.800000000003</v>
      </c>
      <c r="CA3">
        <v>36616</v>
      </c>
      <c r="CB3">
        <v>14731</v>
      </c>
      <c r="CC3">
        <v>11325</v>
      </c>
      <c r="CD3">
        <v>0</v>
      </c>
      <c r="CE3">
        <v>0</v>
      </c>
      <c r="CF3" s="45">
        <f>($BX$8-BZ3)/$BX$8</f>
        <v>3.7995316159250447E-2</v>
      </c>
      <c r="CG3" s="21"/>
      <c r="CH3" s="48"/>
      <c r="CI3" s="22"/>
      <c r="CJ3" s="6"/>
      <c r="CL3" s="24">
        <f>0.4 *CM3 + 0.4 *CN3 + 0.2 * CQ3</f>
        <v>15616</v>
      </c>
      <c r="CM3">
        <v>22911</v>
      </c>
      <c r="CN3">
        <v>16129</v>
      </c>
      <c r="CO3">
        <v>8688</v>
      </c>
      <c r="CP3">
        <v>0</v>
      </c>
      <c r="CQ3">
        <v>0</v>
      </c>
      <c r="CR3" s="45">
        <f>($CJ$8-CL3)/$CJ$8</f>
        <v>0.15767670665400885</v>
      </c>
      <c r="CS3" s="21"/>
      <c r="CT3" s="48"/>
      <c r="CU3" s="22"/>
    </row>
    <row r="4" spans="1:207" hidden="1" x14ac:dyDescent="0.3">
      <c r="A4" s="151"/>
      <c r="B4" s="23"/>
      <c r="C4" s="23"/>
      <c r="D4" s="24">
        <f>0.4 * E4 + 0.4 * F4 + 0.2 * I4</f>
        <v>12798</v>
      </c>
      <c r="E4" s="28">
        <v>21632</v>
      </c>
      <c r="F4">
        <v>10363</v>
      </c>
      <c r="G4">
        <v>0</v>
      </c>
      <c r="H4">
        <v>0</v>
      </c>
      <c r="I4" s="6">
        <v>0</v>
      </c>
      <c r="L4" s="45">
        <f t="shared" ref="L4:L7" si="0">($B$8-D4)/$P$8</f>
        <v>1.4005602240896357E-2</v>
      </c>
      <c r="O4" s="6"/>
      <c r="R4" s="24">
        <f t="shared" ref="R4:R7" si="1">0.4 *S4 + 0.4 * T4 + 0.2 * W4</f>
        <v>38669.200000000004</v>
      </c>
      <c r="S4" s="5">
        <v>75996</v>
      </c>
      <c r="T4">
        <v>20280</v>
      </c>
      <c r="U4">
        <v>590</v>
      </c>
      <c r="V4">
        <v>0</v>
      </c>
      <c r="W4" s="6">
        <v>794</v>
      </c>
      <c r="X4" s="45">
        <f t="shared" ref="X4:X6" si="2">($P$8-R4)/$P$8</f>
        <v>0.26415022530751425</v>
      </c>
      <c r="Z4" s="46"/>
      <c r="AA4" s="6"/>
      <c r="AB4" s="6"/>
      <c r="AD4" s="24">
        <f>0.4 * AE4 + 0.4 * AF4 + 0.2 * AI4</f>
        <v>20068</v>
      </c>
      <c r="AE4" s="5">
        <v>37906</v>
      </c>
      <c r="AF4">
        <v>12264</v>
      </c>
      <c r="AG4">
        <v>12833</v>
      </c>
      <c r="AH4">
        <v>0</v>
      </c>
      <c r="AI4">
        <v>0</v>
      </c>
      <c r="AJ4" s="45">
        <f t="shared" ref="AJ4:AJ6" si="3">($AB$8-AD4)/$AB$8</f>
        <v>0.18092470449944489</v>
      </c>
      <c r="AL4" s="46"/>
      <c r="AM4" s="6"/>
      <c r="AN4" s="6"/>
      <c r="AP4" s="24">
        <f>0.4 * AQ4 + 0.4 * AR4 + 0.2 * AU4</f>
        <v>26701.199999999997</v>
      </c>
      <c r="AQ4">
        <v>44282</v>
      </c>
      <c r="AR4">
        <v>22471</v>
      </c>
      <c r="AS4">
        <v>11134</v>
      </c>
      <c r="AT4">
        <v>0</v>
      </c>
      <c r="AU4">
        <v>0</v>
      </c>
      <c r="AV4" s="45">
        <f t="shared" ref="AV4:AV7" si="4">($AN$8-AP4)/$AN$8</f>
        <v>7.6031891038950403E-2</v>
      </c>
      <c r="AX4" s="46"/>
      <c r="AY4" s="6"/>
      <c r="AZ4" s="6"/>
      <c r="BB4" s="24">
        <f>0.4 * BC4 + 0.4 * BD4 + 0.2 * BG4</f>
        <v>26692.799999999999</v>
      </c>
      <c r="BC4" s="5">
        <v>52090</v>
      </c>
      <c r="BD4">
        <v>14642</v>
      </c>
      <c r="BE4">
        <v>0</v>
      </c>
      <c r="BF4">
        <v>0</v>
      </c>
      <c r="BG4">
        <v>0</v>
      </c>
      <c r="BH4" s="45">
        <f t="shared" ref="BH4:BH6" si="5">($AZ$8-BB4)/$AZ$8</f>
        <v>5.4573274396463763E-2</v>
      </c>
      <c r="BJ4" s="46"/>
      <c r="BK4" s="6"/>
      <c r="BL4" s="6"/>
      <c r="BN4" s="24">
        <f>0.4 * BO4 + 0.4 * BP4 + 0.2 * BS4</f>
        <v>38202</v>
      </c>
      <c r="BO4">
        <v>80673</v>
      </c>
      <c r="BP4">
        <v>14832</v>
      </c>
      <c r="BQ4">
        <v>12211</v>
      </c>
      <c r="BR4">
        <v>0</v>
      </c>
      <c r="BS4">
        <v>0</v>
      </c>
      <c r="BT4" s="45">
        <f t="shared" ref="BT4:BT7" si="6">($BL$8-BN4)/$BL$8</f>
        <v>6.5042242214803828E-2</v>
      </c>
      <c r="BV4" s="46"/>
      <c r="BW4" s="6"/>
      <c r="BX4" s="6"/>
      <c r="BZ4" s="24">
        <f>0.4 * CA4 + 0.4 * CB4 + 0.2 * CE4</f>
        <v>20584.400000000001</v>
      </c>
      <c r="CA4">
        <v>36723</v>
      </c>
      <c r="CB4">
        <v>14738</v>
      </c>
      <c r="CC4">
        <v>11318</v>
      </c>
      <c r="CD4">
        <v>0</v>
      </c>
      <c r="CE4">
        <v>0</v>
      </c>
      <c r="CF4" s="45">
        <f t="shared" ref="CF4:CF7" si="7">($BX$8-BZ4)/$BX$8</f>
        <v>3.5859484777517499E-2</v>
      </c>
      <c r="CH4" s="46"/>
      <c r="CI4" s="6"/>
      <c r="CJ4" s="6"/>
      <c r="CL4" s="24">
        <f t="shared" ref="CL4:CL7" si="8">0.4 *CM4 + 0.4 *CN4 + 0.2 * CQ4</f>
        <v>15771.2</v>
      </c>
      <c r="CM4">
        <v>23281</v>
      </c>
      <c r="CN4">
        <v>16147</v>
      </c>
      <c r="CO4">
        <v>10163</v>
      </c>
      <c r="CP4">
        <v>0</v>
      </c>
      <c r="CQ4">
        <v>0</v>
      </c>
      <c r="CR4" s="45">
        <f t="shared" ref="CR4:CR7" si="9">($CJ$8-CL4)/$CJ$8</f>
        <v>0.14930525589022178</v>
      </c>
      <c r="CT4" s="46"/>
      <c r="CU4" s="6"/>
    </row>
    <row r="5" spans="1:207" hidden="1" x14ac:dyDescent="0.3">
      <c r="A5" s="151"/>
      <c r="B5" s="23"/>
      <c r="C5" s="23"/>
      <c r="D5" s="24">
        <f t="shared" ref="D5:D7" si="10">0.4 * E5 + 0.4 * F5 + 0.2 * I5</f>
        <v>12426.400000000001</v>
      </c>
      <c r="E5" s="28">
        <v>20547</v>
      </c>
      <c r="F5">
        <v>10519</v>
      </c>
      <c r="G5">
        <v>0</v>
      </c>
      <c r="H5">
        <v>0</v>
      </c>
      <c r="I5" s="6">
        <v>0</v>
      </c>
      <c r="L5" s="45">
        <f t="shared" si="0"/>
        <v>2.107690902447933E-2</v>
      </c>
      <c r="O5" s="6"/>
      <c r="R5" s="24">
        <f t="shared" si="1"/>
        <v>39097.600000000006</v>
      </c>
      <c r="S5" s="5">
        <v>77241</v>
      </c>
      <c r="T5">
        <v>20503</v>
      </c>
      <c r="U5">
        <v>74</v>
      </c>
      <c r="V5">
        <v>0</v>
      </c>
      <c r="W5" s="6">
        <v>0</v>
      </c>
      <c r="X5" s="45">
        <f t="shared" si="2"/>
        <v>0.25599805139447074</v>
      </c>
      <c r="Z5" s="46"/>
      <c r="AA5" s="6"/>
      <c r="AB5" s="6"/>
      <c r="AD5" s="24">
        <f t="shared" ref="AD5:AD19" si="11">0.4 * AE5 + 0.4 * AF5 + 0.2 * AI5</f>
        <v>19962.400000000001</v>
      </c>
      <c r="AE5" s="5">
        <v>37680</v>
      </c>
      <c r="AF5">
        <v>12226</v>
      </c>
      <c r="AG5">
        <v>12995</v>
      </c>
      <c r="AH5">
        <v>0</v>
      </c>
      <c r="AI5">
        <v>0</v>
      </c>
      <c r="AJ5" s="45">
        <f t="shared" si="3"/>
        <v>0.1852347678443152</v>
      </c>
      <c r="AL5" s="46"/>
      <c r="AM5" s="6"/>
      <c r="AN5" s="6"/>
      <c r="AP5" s="24">
        <f>0.4 * AQ5 + 0.4 * AR5 + 0.2 * AU5</f>
        <v>26370.400000000001</v>
      </c>
      <c r="AQ5">
        <v>43402</v>
      </c>
      <c r="AR5">
        <v>22524</v>
      </c>
      <c r="AS5">
        <v>20154</v>
      </c>
      <c r="AT5">
        <v>0</v>
      </c>
      <c r="AU5">
        <v>0</v>
      </c>
      <c r="AV5" s="45">
        <f t="shared" si="4"/>
        <v>8.7478891564930925E-2</v>
      </c>
      <c r="AX5" s="46"/>
      <c r="AY5" s="6"/>
      <c r="AZ5" s="6"/>
      <c r="BB5" s="24">
        <f t="shared" ref="BB5:BB19" si="12">0.4 * BC5 + 0.4 * BD5 + 0.2 * BG5</f>
        <v>26732.800000000003</v>
      </c>
      <c r="BC5" s="5">
        <v>52173</v>
      </c>
      <c r="BD5">
        <v>14659</v>
      </c>
      <c r="BE5">
        <v>0</v>
      </c>
      <c r="BF5">
        <v>0</v>
      </c>
      <c r="BG5">
        <v>0</v>
      </c>
      <c r="BH5" s="45">
        <f t="shared" si="5"/>
        <v>5.3156522724696662E-2</v>
      </c>
      <c r="BJ5" s="46"/>
      <c r="BK5" s="6"/>
      <c r="BL5" s="6"/>
      <c r="BN5" s="24">
        <f t="shared" ref="BN5:BN19" si="13">0.4 * BO5 + 0.4 * BP5 + 0.2 * BS5</f>
        <v>38212.800000000003</v>
      </c>
      <c r="BO5">
        <v>80694</v>
      </c>
      <c r="BP5">
        <v>14838</v>
      </c>
      <c r="BQ5">
        <v>12205</v>
      </c>
      <c r="BR5">
        <v>0</v>
      </c>
      <c r="BS5">
        <v>0</v>
      </c>
      <c r="BT5" s="45">
        <f t="shared" si="6"/>
        <v>6.4777922446621991E-2</v>
      </c>
      <c r="BV5" s="46"/>
      <c r="BW5" s="6"/>
      <c r="BX5" s="6"/>
      <c r="BZ5" s="24">
        <f t="shared" ref="BZ5:BZ19" si="14">0.4 * CA5 + 0.4 * CB5 + 0.2 * CE5</f>
        <v>20494.400000000001</v>
      </c>
      <c r="CA5">
        <v>36508</v>
      </c>
      <c r="CB5">
        <v>14728</v>
      </c>
      <c r="CC5">
        <v>11304</v>
      </c>
      <c r="CD5">
        <v>0</v>
      </c>
      <c r="CE5">
        <v>0</v>
      </c>
      <c r="CF5" s="45">
        <f t="shared" si="7"/>
        <v>4.0074941451990566E-2</v>
      </c>
      <c r="CH5" s="46"/>
      <c r="CI5" s="6"/>
      <c r="CJ5" s="6"/>
      <c r="CL5" s="24">
        <f t="shared" si="8"/>
        <v>15771.2</v>
      </c>
      <c r="CM5">
        <v>23281</v>
      </c>
      <c r="CN5">
        <v>16147</v>
      </c>
      <c r="CO5">
        <v>9764</v>
      </c>
      <c r="CP5">
        <v>0</v>
      </c>
      <c r="CQ5">
        <v>0</v>
      </c>
      <c r="CR5" s="45">
        <f t="shared" si="9"/>
        <v>0.14930525589022178</v>
      </c>
      <c r="CT5" s="46"/>
      <c r="CU5" s="6"/>
    </row>
    <row r="6" spans="1:207" hidden="1" x14ac:dyDescent="0.3">
      <c r="A6" s="151"/>
      <c r="B6" s="23"/>
      <c r="C6" s="23"/>
      <c r="D6" s="24">
        <f t="shared" si="10"/>
        <v>12586.800000000001</v>
      </c>
      <c r="E6" s="28">
        <v>20982</v>
      </c>
      <c r="F6">
        <v>10485</v>
      </c>
      <c r="G6">
        <v>0</v>
      </c>
      <c r="H6">
        <v>0</v>
      </c>
      <c r="I6" s="6">
        <v>0</v>
      </c>
      <c r="L6" s="45">
        <f t="shared" si="0"/>
        <v>1.8024601144805728E-2</v>
      </c>
      <c r="O6" s="6"/>
      <c r="R6" s="24">
        <f t="shared" si="1"/>
        <v>38249.200000000004</v>
      </c>
      <c r="S6" s="5">
        <v>75238</v>
      </c>
      <c r="T6">
        <v>20124</v>
      </c>
      <c r="U6">
        <v>493</v>
      </c>
      <c r="V6">
        <v>0</v>
      </c>
      <c r="W6" s="6">
        <v>522</v>
      </c>
      <c r="X6" s="45">
        <f t="shared" si="2"/>
        <v>0.27214255267324317</v>
      </c>
      <c r="Z6" s="46"/>
      <c r="AA6" s="6"/>
      <c r="AB6" s="6"/>
      <c r="AD6" s="24">
        <f t="shared" si="11"/>
        <v>20046</v>
      </c>
      <c r="AE6" s="5">
        <v>37848</v>
      </c>
      <c r="AF6">
        <v>12267</v>
      </c>
      <c r="AG6">
        <v>12904</v>
      </c>
      <c r="AH6">
        <v>0</v>
      </c>
      <c r="AI6">
        <v>0</v>
      </c>
      <c r="AJ6" s="45">
        <f t="shared" si="3"/>
        <v>0.18182263436295956</v>
      </c>
      <c r="AL6" s="46"/>
      <c r="AM6" s="6"/>
      <c r="AN6" s="6"/>
      <c r="AP6" s="24">
        <f t="shared" ref="AP6:AP19" si="15">0.4 * AQ6 + 0.4 * AR6 + 0.2 * AU6</f>
        <v>26370.400000000001</v>
      </c>
      <c r="AQ6">
        <v>43402</v>
      </c>
      <c r="AR6">
        <v>22524</v>
      </c>
      <c r="AS6">
        <v>20154</v>
      </c>
      <c r="AT6">
        <v>0</v>
      </c>
      <c r="AU6">
        <v>0</v>
      </c>
      <c r="AV6" s="45">
        <f t="shared" si="4"/>
        <v>8.7478891564930925E-2</v>
      </c>
      <c r="AX6" s="46"/>
      <c r="AY6" s="6"/>
      <c r="AZ6" s="6"/>
      <c r="BB6" s="24">
        <f t="shared" si="12"/>
        <v>26692.799999999999</v>
      </c>
      <c r="BC6" s="5">
        <v>52090</v>
      </c>
      <c r="BD6">
        <v>14642</v>
      </c>
      <c r="BE6">
        <v>0</v>
      </c>
      <c r="BF6">
        <v>0</v>
      </c>
      <c r="BG6">
        <v>0</v>
      </c>
      <c r="BH6" s="45">
        <f t="shared" si="5"/>
        <v>5.4573274396463763E-2</v>
      </c>
      <c r="BJ6" s="46"/>
      <c r="BK6" s="6"/>
      <c r="BL6" s="6"/>
      <c r="BN6" s="24">
        <f t="shared" si="13"/>
        <v>38189.200000000004</v>
      </c>
      <c r="BO6">
        <v>80641</v>
      </c>
      <c r="BP6">
        <v>14832</v>
      </c>
      <c r="BQ6">
        <v>12070</v>
      </c>
      <c r="BR6">
        <v>0</v>
      </c>
      <c r="BS6">
        <v>0</v>
      </c>
      <c r="BT6" s="45">
        <f t="shared" si="6"/>
        <v>6.5355510088204352E-2</v>
      </c>
      <c r="BV6" s="46"/>
      <c r="BW6" s="6"/>
      <c r="BX6" s="6"/>
      <c r="BZ6" s="24">
        <f t="shared" si="14"/>
        <v>20630.800000000003</v>
      </c>
      <c r="CA6">
        <v>36832</v>
      </c>
      <c r="CB6">
        <v>14745</v>
      </c>
      <c r="CC6">
        <v>11287</v>
      </c>
      <c r="CD6">
        <v>0</v>
      </c>
      <c r="CE6">
        <v>0</v>
      </c>
      <c r="CF6" s="45">
        <f t="shared" si="7"/>
        <v>3.3686182669789094E-2</v>
      </c>
      <c r="CH6" s="46"/>
      <c r="CI6" s="6"/>
      <c r="CJ6" s="6"/>
      <c r="CL6" s="24">
        <f t="shared" si="8"/>
        <v>15771.2</v>
      </c>
      <c r="CM6">
        <v>23281</v>
      </c>
      <c r="CN6">
        <v>16147</v>
      </c>
      <c r="CO6">
        <v>9764</v>
      </c>
      <c r="CP6">
        <v>0</v>
      </c>
      <c r="CQ6">
        <v>0</v>
      </c>
      <c r="CR6" s="45">
        <f t="shared" si="9"/>
        <v>0.14930525589022178</v>
      </c>
      <c r="CT6" s="46"/>
      <c r="CU6" s="6"/>
    </row>
    <row r="7" spans="1:207" hidden="1" x14ac:dyDescent="0.3">
      <c r="A7" s="151"/>
      <c r="B7" s="23"/>
      <c r="C7" s="23"/>
      <c r="D7" s="24">
        <f t="shared" si="10"/>
        <v>12442</v>
      </c>
      <c r="E7" s="28">
        <v>20555</v>
      </c>
      <c r="F7">
        <v>10550</v>
      </c>
      <c r="G7">
        <v>0</v>
      </c>
      <c r="H7">
        <v>0</v>
      </c>
      <c r="I7" s="6">
        <v>0</v>
      </c>
      <c r="L7" s="45">
        <f t="shared" si="0"/>
        <v>2.0780051150895141E-2</v>
      </c>
      <c r="O7" s="6"/>
      <c r="R7" s="24">
        <f t="shared" si="1"/>
        <v>38262.600000000006</v>
      </c>
      <c r="S7" s="5">
        <v>74971</v>
      </c>
      <c r="T7">
        <v>20111</v>
      </c>
      <c r="U7">
        <v>790</v>
      </c>
      <c r="V7">
        <v>0</v>
      </c>
      <c r="W7" s="6">
        <v>1149</v>
      </c>
      <c r="X7" s="45">
        <f>($P$8-R7)/$P$8</f>
        <v>0.27188755937157461</v>
      </c>
      <c r="Z7" s="46"/>
      <c r="AA7" s="6"/>
      <c r="AB7" s="6"/>
      <c r="AD7" s="24">
        <f t="shared" si="11"/>
        <v>20047.2</v>
      </c>
      <c r="AE7" s="5">
        <v>37852</v>
      </c>
      <c r="AF7">
        <v>12266</v>
      </c>
      <c r="AG7">
        <v>12375</v>
      </c>
      <c r="AH7">
        <v>0</v>
      </c>
      <c r="AI7">
        <v>0</v>
      </c>
      <c r="AJ7" s="45">
        <f>($AB$8-AD7)/$AB$8</f>
        <v>0.18177365637040419</v>
      </c>
      <c r="AL7" s="46"/>
      <c r="AM7" s="6"/>
      <c r="AN7" s="6"/>
      <c r="AP7" s="24">
        <f t="shared" si="15"/>
        <v>26536.400000000001</v>
      </c>
      <c r="AQ7">
        <v>43770</v>
      </c>
      <c r="AR7">
        <v>22571</v>
      </c>
      <c r="AS7">
        <v>0</v>
      </c>
      <c r="AT7">
        <v>0</v>
      </c>
      <c r="AU7">
        <v>0</v>
      </c>
      <c r="AV7" s="45">
        <f t="shared" si="4"/>
        <v>8.1734628906790688E-2</v>
      </c>
      <c r="AX7" s="46"/>
      <c r="AY7" s="6"/>
      <c r="AZ7" s="6"/>
      <c r="BB7" s="24">
        <f t="shared" si="12"/>
        <v>26586</v>
      </c>
      <c r="BC7" s="5">
        <v>51740</v>
      </c>
      <c r="BD7">
        <v>14725</v>
      </c>
      <c r="BE7">
        <v>0</v>
      </c>
      <c r="BF7">
        <v>0</v>
      </c>
      <c r="BG7">
        <v>0</v>
      </c>
      <c r="BH7" s="45">
        <f>($AZ$8-BB7)/$AZ$8</f>
        <v>5.8356001360081559E-2</v>
      </c>
      <c r="BJ7" s="46"/>
      <c r="BK7" s="6"/>
      <c r="BL7" s="6"/>
      <c r="BN7" s="24">
        <f t="shared" si="13"/>
        <v>38189.200000000004</v>
      </c>
      <c r="BO7">
        <v>80641</v>
      </c>
      <c r="BP7">
        <v>14832</v>
      </c>
      <c r="BQ7">
        <v>12210</v>
      </c>
      <c r="BR7">
        <v>0</v>
      </c>
      <c r="BS7">
        <v>0</v>
      </c>
      <c r="BT7" s="45">
        <f t="shared" si="6"/>
        <v>6.5355510088204352E-2</v>
      </c>
      <c r="BV7" s="46"/>
      <c r="BW7" s="6"/>
      <c r="BX7" s="6"/>
      <c r="BZ7" s="24">
        <f t="shared" si="14"/>
        <v>20584.400000000001</v>
      </c>
      <c r="CA7">
        <v>36723</v>
      </c>
      <c r="CB7">
        <v>14738</v>
      </c>
      <c r="CC7">
        <v>11299</v>
      </c>
      <c r="CD7">
        <v>0</v>
      </c>
      <c r="CE7">
        <v>0</v>
      </c>
      <c r="CF7" s="45">
        <f t="shared" si="7"/>
        <v>3.5859484777517499E-2</v>
      </c>
      <c r="CH7" s="46"/>
      <c r="CI7" s="6"/>
      <c r="CJ7" s="6"/>
      <c r="CL7" s="24">
        <f t="shared" si="8"/>
        <v>15771.2</v>
      </c>
      <c r="CM7">
        <v>23281</v>
      </c>
      <c r="CN7">
        <v>16147</v>
      </c>
      <c r="CO7">
        <v>9764</v>
      </c>
      <c r="CP7">
        <v>0</v>
      </c>
      <c r="CQ7">
        <v>0</v>
      </c>
      <c r="CR7" s="45">
        <f t="shared" si="9"/>
        <v>0.14930525589022178</v>
      </c>
      <c r="CT7" s="46"/>
      <c r="CU7" s="6"/>
    </row>
    <row r="8" spans="1:207" s="4" customFormat="1" x14ac:dyDescent="0.3">
      <c r="A8" s="15" t="s">
        <v>47</v>
      </c>
      <c r="B8" s="41" t="s">
        <v>41</v>
      </c>
      <c r="C8" s="41">
        <v>22829</v>
      </c>
      <c r="D8" s="25">
        <f>AVERAGE(D3:D7)</f>
        <v>12613.52</v>
      </c>
      <c r="E8" s="7">
        <f>AVERAGE(E3:E7)</f>
        <v>21076.400000000001</v>
      </c>
      <c r="F8" s="7">
        <f>AVERAGE(F3:F7)</f>
        <v>10457.4</v>
      </c>
      <c r="G8" s="4">
        <f t="shared" ref="G8:I8" si="16">AVERAGE(G3:G7)</f>
        <v>0</v>
      </c>
      <c r="H8" s="4">
        <f t="shared" si="16"/>
        <v>0</v>
      </c>
      <c r="I8" s="4">
        <f t="shared" si="16"/>
        <v>0</v>
      </c>
      <c r="J8" s="27">
        <v>0.11349961573344425</v>
      </c>
      <c r="K8" s="84">
        <v>3.3317853291445817E-3</v>
      </c>
      <c r="L8" s="27">
        <f>(B8-D8)/B8</f>
        <v>6.8012413181616632E-2</v>
      </c>
      <c r="M8" s="27">
        <f>_xlfn.STDEV.S(L3:L7)</f>
        <v>3.5541179294749999E-3</v>
      </c>
      <c r="N8" s="73">
        <f>(C8-E8)/C8</f>
        <v>7.6770774015506527E-2</v>
      </c>
      <c r="O8" s="27" t="e">
        <f>_xlfn.STDEV.S(N3:N7)</f>
        <v>#DIV/0!</v>
      </c>
      <c r="P8">
        <v>52550.400000000001</v>
      </c>
      <c r="Q8" s="26">
        <v>81057</v>
      </c>
      <c r="R8" s="49">
        <f>AVERAGE(R3:R7)</f>
        <v>38518.080000000002</v>
      </c>
      <c r="S8">
        <f>AVERAGE(S3:S7)</f>
        <v>75667.600000000006</v>
      </c>
      <c r="T8">
        <f t="shared" ref="T8:W8" si="17">AVERAGE(T3:T7)</f>
        <v>20234.599999999999</v>
      </c>
      <c r="U8">
        <f t="shared" si="17"/>
        <v>484.2</v>
      </c>
      <c r="V8">
        <f t="shared" si="17"/>
        <v>0</v>
      </c>
      <c r="W8">
        <f t="shared" si="17"/>
        <v>786</v>
      </c>
      <c r="X8" s="27">
        <f>(P8-R8)/P8</f>
        <v>0.26702594081110703</v>
      </c>
      <c r="Y8" s="84">
        <f>_xlfn.STDEV.S(X3:X7)</f>
        <v>6.9840479230350982E-3</v>
      </c>
      <c r="Z8" s="73">
        <f>(Q8-S8)/Q8</f>
        <v>6.6489013903796024E-2</v>
      </c>
      <c r="AA8" s="27" t="e">
        <f>_xlfn.STDEV.S(Z3:Z7)</f>
        <v>#DIV/0!</v>
      </c>
      <c r="AB8">
        <v>24500.799999999999</v>
      </c>
      <c r="AC8">
        <v>48120</v>
      </c>
      <c r="AD8" s="49">
        <f>AVERAGE(AD3:AD7)</f>
        <v>20038.32</v>
      </c>
      <c r="AE8">
        <f>AVERAGE(AE3:AE7)</f>
        <v>37838.400000000001</v>
      </c>
      <c r="AF8">
        <f t="shared" ref="AF8:AI8" si="18">AVERAGE(AF3:AF7)</f>
        <v>12257.4</v>
      </c>
      <c r="AG8">
        <f t="shared" si="18"/>
        <v>12788</v>
      </c>
      <c r="AH8">
        <f t="shared" si="18"/>
        <v>0</v>
      </c>
      <c r="AI8">
        <f t="shared" si="18"/>
        <v>0</v>
      </c>
      <c r="AJ8" s="27">
        <f>(AB8-AD8)/AB8</f>
        <v>0.18213609351531376</v>
      </c>
      <c r="AK8" s="84">
        <f>_xlfn.STDEV.S(AJ3:AJ7)</f>
        <v>1.7864998332600534E-3</v>
      </c>
      <c r="AL8" s="73">
        <f>(AC8-AE8)/AC8</f>
        <v>0.2136658354114713</v>
      </c>
      <c r="AM8" s="27" t="e">
        <f>_xlfn.STDEV.S(AL3:AL7)</f>
        <v>#DIV/0!</v>
      </c>
      <c r="AN8">
        <v>28898.400000000001</v>
      </c>
      <c r="AO8">
        <v>48676</v>
      </c>
      <c r="AP8" s="49">
        <f>AVERAGE(AP3:AP7)</f>
        <v>26475.279999999999</v>
      </c>
      <c r="AQ8">
        <f>AVERAGE(AQ3:AQ7)</f>
        <v>43665.8</v>
      </c>
      <c r="AR8">
        <f t="shared" ref="AR8:AU8" si="19">AVERAGE(AR3:AR7)</f>
        <v>22522.400000000001</v>
      </c>
      <c r="AS8">
        <f t="shared" si="19"/>
        <v>14341.8</v>
      </c>
      <c r="AT8">
        <f t="shared" si="19"/>
        <v>0</v>
      </c>
      <c r="AU8">
        <f t="shared" si="19"/>
        <v>0</v>
      </c>
      <c r="AV8" s="83">
        <f>(AN8-AP8)/AN8</f>
        <v>8.3849624892727709E-2</v>
      </c>
      <c r="AW8" s="83">
        <f>_xlfn.STDEV.S(AV3:AV7)</f>
        <v>4.9770636594399535E-3</v>
      </c>
      <c r="AX8" s="73">
        <f>(AO8-AQ8)/AO8</f>
        <v>0.10292957514997118</v>
      </c>
      <c r="AY8" s="27" t="e">
        <f>_xlfn.STDEV.S(AX3:AX7)</f>
        <v>#DIV/0!</v>
      </c>
      <c r="AZ8">
        <v>28233.599999999999</v>
      </c>
      <c r="BA8">
        <v>55474</v>
      </c>
      <c r="BB8" s="49">
        <f>AVERAGE(BB3:BB7)</f>
        <v>26704.080000000005</v>
      </c>
      <c r="BC8">
        <f>AVERAGE(BC3:BC7)</f>
        <v>52093</v>
      </c>
      <c r="BD8">
        <f t="shared" ref="BD8:BG8" si="20">AVERAGE(BD3:BD7)</f>
        <v>14667.2</v>
      </c>
      <c r="BE8">
        <f t="shared" si="20"/>
        <v>0</v>
      </c>
      <c r="BF8">
        <f t="shared" si="20"/>
        <v>0</v>
      </c>
      <c r="BG8">
        <f t="shared" si="20"/>
        <v>0</v>
      </c>
      <c r="BH8" s="27">
        <f>(AZ8-BB8)/AZ8</f>
        <v>5.4173750425025265E-2</v>
      </c>
      <c r="BI8" s="27">
        <f>_xlfn.STDEV.S(BH3:BH7)</f>
        <v>2.9393483200665957E-3</v>
      </c>
      <c r="BJ8" s="73">
        <f>(BA8-BC8)/BA8</f>
        <v>6.0947470887262503E-2</v>
      </c>
      <c r="BK8" s="27" t="e">
        <f>_xlfn.STDEV.S(BJ3:BJ7)</f>
        <v>#DIV/0!</v>
      </c>
      <c r="BL8">
        <v>40859.599999999999</v>
      </c>
      <c r="BM8">
        <v>86423</v>
      </c>
      <c r="BN8" s="49">
        <f>AVERAGE(BN3:BN7)</f>
        <v>38198.639999999999</v>
      </c>
      <c r="BO8">
        <f>AVERAGE(BO3:BO7)</f>
        <v>80662.2</v>
      </c>
      <c r="BP8">
        <f t="shared" ref="BP8:BS8" si="21">AVERAGE(BP3:BP7)</f>
        <v>14834.4</v>
      </c>
      <c r="BQ8">
        <f t="shared" si="21"/>
        <v>12168.8</v>
      </c>
      <c r="BR8">
        <f t="shared" si="21"/>
        <v>0</v>
      </c>
      <c r="BS8">
        <f t="shared" si="21"/>
        <v>0</v>
      </c>
      <c r="BT8" s="83">
        <f>(BL8-BN8)/BL8</f>
        <v>6.512447503157151E-2</v>
      </c>
      <c r="BU8" s="83">
        <f>_xlfn.STDEV.S(BT3:BT7)</f>
        <v>2.4224120061330947E-4</v>
      </c>
      <c r="BV8" s="73">
        <f>(BM8-BO8)/BM8</f>
        <v>6.6658181271189415E-2</v>
      </c>
      <c r="BW8" s="27" t="e">
        <f>_xlfn.STDEV.S(BV3:BV7)</f>
        <v>#DIV/0!</v>
      </c>
      <c r="BX8">
        <v>21350</v>
      </c>
      <c r="BY8">
        <v>38534</v>
      </c>
      <c r="BZ8" s="49">
        <f>AVERAGE(BZ3:BZ7)</f>
        <v>20566.560000000005</v>
      </c>
      <c r="CA8">
        <f>AVERAGE(CA3:CA7)</f>
        <v>36680.400000000001</v>
      </c>
      <c r="CB8">
        <f t="shared" ref="CB8:CD8" si="22">AVERAGE(CB3:CB7)</f>
        <v>14736</v>
      </c>
      <c r="CC8">
        <f t="shared" si="22"/>
        <v>11306.6</v>
      </c>
      <c r="CD8">
        <f t="shared" si="22"/>
        <v>0</v>
      </c>
      <c r="CE8">
        <f t="shared" ref="CE8" si="23">AVERAGE(CE3:CE7)</f>
        <v>0</v>
      </c>
      <c r="CF8" s="83">
        <f>(BX8-BZ8)/BX8</f>
        <v>3.6695081967212884E-2</v>
      </c>
      <c r="CG8" s="83">
        <f>_xlfn.STDEV.S(CF3:CF7)</f>
        <v>2.4271371716425637E-3</v>
      </c>
      <c r="CH8" s="73">
        <f>(BY8-CA8)/BY8</f>
        <v>4.8102973996989637E-2</v>
      </c>
      <c r="CI8" s="27" t="e">
        <f>_xlfn.STDEV.S(CH3:CH7)</f>
        <v>#DIV/0!</v>
      </c>
      <c r="CJ8">
        <v>18539.2</v>
      </c>
      <c r="CK8">
        <v>28067</v>
      </c>
      <c r="CL8" s="49">
        <f>AVERAGE(CL3:CL7)</f>
        <v>15740.16</v>
      </c>
      <c r="CM8">
        <f t="shared" ref="CM8:CO8" si="24">AVERAGE(CM3:CM7)</f>
        <v>23207</v>
      </c>
      <c r="CN8">
        <f t="shared" si="24"/>
        <v>16143.4</v>
      </c>
      <c r="CO8">
        <f t="shared" si="24"/>
        <v>9628.6</v>
      </c>
      <c r="CP8">
        <f t="shared" ref="CP8" si="25">AVERAGE(CP3:CP7)</f>
        <v>0</v>
      </c>
      <c r="CQ8">
        <f t="shared" ref="CQ8" si="26">AVERAGE(CQ3:CQ7)</f>
        <v>0</v>
      </c>
      <c r="CR8" s="27">
        <f>(CJ8-CL8)/CJ8</f>
        <v>0.15097954604297925</v>
      </c>
      <c r="CS8" s="84">
        <f>_xlfn.STDEV.S(CR3:CR7)</f>
        <v>3.7438265956240818E-3</v>
      </c>
      <c r="CT8" s="73">
        <f>(CK8-CM8)/CK8</f>
        <v>0.17315708839562474</v>
      </c>
      <c r="CU8" s="27" t="e">
        <f>_xlfn.STDEV.S(CT3:CT7)</f>
        <v>#DIV/0!</v>
      </c>
      <c r="CV8"/>
      <c r="CW8" s="27">
        <v>0.11349961573344425</v>
      </c>
      <c r="CX8" s="27">
        <v>3.3317853291445817E-3</v>
      </c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GV8" s="4" t="e">
        <f t="shared" ref="GV8:GY8" si="27">AVERAGE(GV3:GV7)</f>
        <v>#DIV/0!</v>
      </c>
      <c r="GW8" s="4" t="e">
        <f t="shared" si="27"/>
        <v>#DIV/0!</v>
      </c>
      <c r="GX8" s="4" t="e">
        <f t="shared" si="27"/>
        <v>#DIV/0!</v>
      </c>
      <c r="GY8" s="4" t="e">
        <f t="shared" si="27"/>
        <v>#DIV/0!</v>
      </c>
    </row>
    <row r="9" spans="1:207" ht="15" hidden="1" customHeight="1" thickBot="1" x14ac:dyDescent="0.3">
      <c r="A9" s="150" t="s">
        <v>48</v>
      </c>
      <c r="B9" s="23"/>
      <c r="C9" s="23"/>
      <c r="D9" s="24">
        <f t="shared" ref="D9" si="28">0.4 * E9 + 0.4 * F9 + 0.2 * I9</f>
        <v>12426.400000000001</v>
      </c>
      <c r="E9" s="23">
        <v>20547</v>
      </c>
      <c r="F9">
        <v>10519</v>
      </c>
      <c r="G9">
        <v>0</v>
      </c>
      <c r="H9">
        <v>0</v>
      </c>
      <c r="I9">
        <v>0</v>
      </c>
      <c r="J9" s="27">
        <v>0.10877141539227682</v>
      </c>
      <c r="K9" s="27">
        <v>0</v>
      </c>
      <c r="L9" s="27">
        <f>($B$14-D9)/$P$14</f>
        <v>2.107841085109053E-2</v>
      </c>
      <c r="N9" s="73"/>
      <c r="R9" s="49">
        <f>0.4 *S9 + 0.4 * T9 + 0.2 * W9</f>
        <v>38201.000000000007</v>
      </c>
      <c r="S9">
        <v>74857</v>
      </c>
      <c r="T9" s="82">
        <v>20137</v>
      </c>
      <c r="U9">
        <v>29</v>
      </c>
      <c r="V9">
        <v>0</v>
      </c>
      <c r="W9">
        <v>1017</v>
      </c>
      <c r="X9" s="27">
        <f>($P$14-R9)/$P$14</f>
        <v>0.27307360032273154</v>
      </c>
      <c r="Z9" s="73"/>
      <c r="AD9" s="49">
        <f t="shared" si="11"/>
        <v>20052.400000000001</v>
      </c>
      <c r="AE9">
        <v>37890</v>
      </c>
      <c r="AF9">
        <v>12241</v>
      </c>
      <c r="AG9">
        <v>12752</v>
      </c>
      <c r="AH9">
        <v>0</v>
      </c>
      <c r="AI9">
        <v>0</v>
      </c>
      <c r="AJ9" s="27">
        <f>($AB$14-AD9)/$AB$14</f>
        <v>0.18159482160494322</v>
      </c>
      <c r="AL9" s="73"/>
      <c r="AP9" s="49">
        <f t="shared" si="15"/>
        <v>26398</v>
      </c>
      <c r="AQ9">
        <v>43473</v>
      </c>
      <c r="AR9">
        <v>22522</v>
      </c>
      <c r="AS9">
        <v>20154</v>
      </c>
      <c r="AT9">
        <v>0</v>
      </c>
      <c r="AU9">
        <v>0</v>
      </c>
      <c r="AV9" s="27">
        <f>($AN$14-AP9)/$AN$14</f>
        <v>8.6555430216544341E-2</v>
      </c>
      <c r="AX9" s="73"/>
      <c r="BB9" s="49">
        <f t="shared" si="12"/>
        <v>26732.800000000003</v>
      </c>
      <c r="BC9">
        <v>52173</v>
      </c>
      <c r="BD9">
        <v>14659</v>
      </c>
      <c r="BE9">
        <v>0</v>
      </c>
      <c r="BF9">
        <v>0</v>
      </c>
      <c r="BG9">
        <v>0</v>
      </c>
      <c r="BH9" s="27">
        <f>($AZ$14-BB9)/$AZ$14</f>
        <v>5.3190057588915575E-2</v>
      </c>
      <c r="BJ9" s="73"/>
      <c r="BN9" s="49">
        <f t="shared" si="13"/>
        <v>38202</v>
      </c>
      <c r="BO9">
        <v>80673</v>
      </c>
      <c r="BP9">
        <v>14832</v>
      </c>
      <c r="BQ9">
        <v>12126</v>
      </c>
      <c r="BR9">
        <v>0</v>
      </c>
      <c r="BS9">
        <v>0</v>
      </c>
      <c r="BT9" s="27">
        <f>($BL$14-BN9)/$BL$14</f>
        <v>6.5065123860148857E-2</v>
      </c>
      <c r="BV9" s="73"/>
      <c r="BZ9" s="49">
        <f t="shared" si="14"/>
        <v>20584.400000000001</v>
      </c>
      <c r="CA9">
        <v>36723</v>
      </c>
      <c r="CB9">
        <v>14738</v>
      </c>
      <c r="CC9">
        <v>11299</v>
      </c>
      <c r="CD9">
        <v>0</v>
      </c>
      <c r="CE9">
        <v>0</v>
      </c>
      <c r="CF9" s="27">
        <f>($BX$14-BZ9)/$BX$14</f>
        <v>3.5904641468783596E-2</v>
      </c>
      <c r="CH9" s="73"/>
      <c r="CL9" s="49">
        <f>0.4 *CM9 + 0.4 *CN9 + 0.2 * CQ9</f>
        <v>15690.4</v>
      </c>
      <c r="CM9">
        <v>23086</v>
      </c>
      <c r="CN9">
        <v>16140</v>
      </c>
      <c r="CO9">
        <v>8739</v>
      </c>
      <c r="CP9">
        <v>0</v>
      </c>
      <c r="CQ9">
        <v>0</v>
      </c>
      <c r="CR9" s="27">
        <f>($CJ$14-CL9)/$CJ$14</f>
        <v>0.15370923722505694</v>
      </c>
      <c r="CT9" s="73"/>
      <c r="CW9" s="27">
        <v>0.10877141539227682</v>
      </c>
      <c r="CX9" s="27">
        <v>0</v>
      </c>
    </row>
    <row r="10" spans="1:207" hidden="1" x14ac:dyDescent="0.3">
      <c r="A10" s="151"/>
      <c r="B10" s="23"/>
      <c r="C10" s="23"/>
      <c r="D10" s="24">
        <f>0.4 * E10 + 0.4 * F10 + 0.2 * I10</f>
        <v>12814.4</v>
      </c>
      <c r="E10" s="23">
        <v>21666</v>
      </c>
      <c r="F10">
        <v>10370</v>
      </c>
      <c r="G10">
        <v>0</v>
      </c>
      <c r="H10">
        <v>0</v>
      </c>
      <c r="I10">
        <v>0</v>
      </c>
      <c r="J10" s="27">
        <v>0.10644464063362272</v>
      </c>
      <c r="K10" s="27">
        <v>0</v>
      </c>
      <c r="L10" s="27">
        <f t="shared" ref="L10:L13" si="29">($B$14-D10)/$P$14</f>
        <v>1.3695163211636621E-2</v>
      </c>
      <c r="N10" s="73"/>
      <c r="R10" s="49">
        <f t="shared" ref="R10:R13" si="30">0.4 *S10 + 0.4 * T10 + 0.2 * W10</f>
        <v>38694</v>
      </c>
      <c r="S10">
        <v>76200</v>
      </c>
      <c r="T10">
        <v>20222</v>
      </c>
      <c r="U10">
        <v>941</v>
      </c>
      <c r="V10">
        <v>0</v>
      </c>
      <c r="W10">
        <v>626</v>
      </c>
      <c r="X10" s="27">
        <f t="shared" ref="X10:X13" si="31">($P$14-R10)/$P$14</f>
        <v>0.2636923088633224</v>
      </c>
      <c r="Z10" s="73"/>
      <c r="AD10" s="49">
        <f t="shared" si="11"/>
        <v>20161.599999999999</v>
      </c>
      <c r="AE10">
        <v>38150</v>
      </c>
      <c r="AF10">
        <v>12254</v>
      </c>
      <c r="AG10">
        <v>13605</v>
      </c>
      <c r="AH10">
        <v>0</v>
      </c>
      <c r="AI10">
        <v>0</v>
      </c>
      <c r="AJ10" s="27">
        <f t="shared" ref="AJ10:AJ13" si="32">($AB$14-AD10)/$AB$14</f>
        <v>0.17713800618730055</v>
      </c>
      <c r="AL10" s="73"/>
      <c r="AP10" s="49">
        <f t="shared" si="15"/>
        <v>26636.800000000003</v>
      </c>
      <c r="AQ10">
        <v>43986</v>
      </c>
      <c r="AR10">
        <v>22606</v>
      </c>
      <c r="AS10">
        <v>0</v>
      </c>
      <c r="AT10">
        <v>0</v>
      </c>
      <c r="AU10">
        <v>0</v>
      </c>
      <c r="AV10" s="27">
        <f t="shared" ref="AV10:AV13" si="33">($AN$14-AP10)/$AN$14</f>
        <v>7.8292282884765724E-2</v>
      </c>
      <c r="AX10" s="73"/>
      <c r="BB10" s="49">
        <f t="shared" si="12"/>
        <v>26692.799999999999</v>
      </c>
      <c r="BC10">
        <v>52090</v>
      </c>
      <c r="BD10">
        <v>14642</v>
      </c>
      <c r="BE10">
        <v>0</v>
      </c>
      <c r="BF10">
        <v>0</v>
      </c>
      <c r="BG10">
        <v>0</v>
      </c>
      <c r="BH10" s="27">
        <f t="shared" ref="BH10:BH13" si="34">($AZ$14-BB10)/$AZ$14</f>
        <v>5.460675908282743E-2</v>
      </c>
      <c r="BJ10" s="73"/>
      <c r="BN10" s="49">
        <f t="shared" si="13"/>
        <v>38260.800000000003</v>
      </c>
      <c r="BO10">
        <v>80809</v>
      </c>
      <c r="BP10">
        <v>14843</v>
      </c>
      <c r="BQ10">
        <v>408</v>
      </c>
      <c r="BR10">
        <v>0</v>
      </c>
      <c r="BS10">
        <v>0</v>
      </c>
      <c r="BT10" s="27">
        <f t="shared" ref="BT10:BT13" si="35">($BL$14-BN10)/$BL$14</f>
        <v>6.3626084785832704E-2</v>
      </c>
      <c r="BV10" s="73"/>
      <c r="BZ10" s="49">
        <f t="shared" si="14"/>
        <v>20494.400000000001</v>
      </c>
      <c r="CA10">
        <v>36508</v>
      </c>
      <c r="CB10">
        <v>14728</v>
      </c>
      <c r="CC10">
        <v>11304</v>
      </c>
      <c r="CD10">
        <v>0</v>
      </c>
      <c r="CE10">
        <v>0</v>
      </c>
      <c r="CF10" s="27">
        <f t="shared" ref="CF10:CF13" si="36">($BX$14-BZ10)/$BX$14</f>
        <v>4.0119900707226756E-2</v>
      </c>
      <c r="CH10" s="73"/>
      <c r="CL10" s="49">
        <f t="shared" ref="CL10:CL13" si="37">0.4 *CM10 + 0.4 *CN10 + 0.2 * CQ10</f>
        <v>15566.6</v>
      </c>
      <c r="CM10">
        <v>22757</v>
      </c>
      <c r="CN10">
        <v>16121</v>
      </c>
      <c r="CO10">
        <v>10216</v>
      </c>
      <c r="CP10">
        <v>0</v>
      </c>
      <c r="CQ10">
        <v>77</v>
      </c>
      <c r="CR10" s="27">
        <f t="shared" ref="CR10:CR13" si="38">($CJ$14-CL10)/$CJ$14</f>
        <v>0.16038661934606963</v>
      </c>
      <c r="CT10" s="73"/>
      <c r="CW10" s="27">
        <v>0.10644464063362272</v>
      </c>
      <c r="CX10" s="27">
        <v>0</v>
      </c>
    </row>
    <row r="11" spans="1:207" hidden="1" x14ac:dyDescent="0.3">
      <c r="A11" s="151"/>
      <c r="B11" s="23"/>
      <c r="C11" s="23"/>
      <c r="D11" s="24">
        <f t="shared" ref="D11:D13" si="39">0.4 * E11 + 0.4 * F11 + 0.2 * I11</f>
        <v>12374.400000000001</v>
      </c>
      <c r="E11" s="23">
        <v>20587</v>
      </c>
      <c r="F11">
        <v>10349</v>
      </c>
      <c r="G11">
        <v>0</v>
      </c>
      <c r="H11">
        <v>0</v>
      </c>
      <c r="I11">
        <v>0</v>
      </c>
      <c r="J11" s="27">
        <v>0.10882787438556078</v>
      </c>
      <c r="K11" s="27">
        <v>0</v>
      </c>
      <c r="L11" s="27">
        <f t="shared" si="29"/>
        <v>2.2067918266687449E-2</v>
      </c>
      <c r="N11" s="73"/>
      <c r="R11" s="49">
        <f t="shared" si="30"/>
        <v>37686.400000000009</v>
      </c>
      <c r="S11">
        <v>73452</v>
      </c>
      <c r="T11">
        <v>19932</v>
      </c>
      <c r="U11">
        <v>594</v>
      </c>
      <c r="V11">
        <v>0</v>
      </c>
      <c r="W11">
        <v>1664</v>
      </c>
      <c r="X11" s="27">
        <f t="shared" si="31"/>
        <v>0.2828659179393887</v>
      </c>
      <c r="Z11" s="73"/>
      <c r="AD11" s="49">
        <f t="shared" si="11"/>
        <v>19962.400000000001</v>
      </c>
      <c r="AE11">
        <v>37680</v>
      </c>
      <c r="AF11">
        <v>12226</v>
      </c>
      <c r="AG11">
        <v>11897</v>
      </c>
      <c r="AH11">
        <v>0</v>
      </c>
      <c r="AI11">
        <v>0</v>
      </c>
      <c r="AJ11" s="27">
        <f t="shared" si="32"/>
        <v>0.18526802112497848</v>
      </c>
      <c r="AL11" s="73"/>
      <c r="AP11" s="49">
        <f t="shared" si="15"/>
        <v>26688</v>
      </c>
      <c r="AQ11">
        <v>44147</v>
      </c>
      <c r="AR11">
        <v>22573</v>
      </c>
      <c r="AS11">
        <v>11073</v>
      </c>
      <c r="AT11">
        <v>0</v>
      </c>
      <c r="AU11">
        <v>0</v>
      </c>
      <c r="AV11" s="27">
        <f t="shared" si="33"/>
        <v>7.6520619805255513E-2</v>
      </c>
      <c r="AX11" s="73"/>
      <c r="BB11" s="49">
        <f t="shared" si="12"/>
        <v>26692.799999999999</v>
      </c>
      <c r="BC11">
        <v>52090</v>
      </c>
      <c r="BD11">
        <v>14642</v>
      </c>
      <c r="BE11">
        <v>0</v>
      </c>
      <c r="BF11">
        <v>0</v>
      </c>
      <c r="BG11">
        <v>0</v>
      </c>
      <c r="BH11" s="27">
        <f t="shared" si="34"/>
        <v>5.460675908282743E-2</v>
      </c>
      <c r="BJ11" s="73"/>
      <c r="BN11" s="49">
        <f t="shared" si="13"/>
        <v>38260.800000000003</v>
      </c>
      <c r="BO11">
        <v>80809</v>
      </c>
      <c r="BP11">
        <v>14843</v>
      </c>
      <c r="BQ11">
        <v>13070</v>
      </c>
      <c r="BR11">
        <v>0</v>
      </c>
      <c r="BS11">
        <v>0</v>
      </c>
      <c r="BT11" s="27">
        <f t="shared" si="35"/>
        <v>6.3626084785832704E-2</v>
      </c>
      <c r="BV11" s="73"/>
      <c r="BZ11" s="49">
        <f t="shared" si="14"/>
        <v>20657.600000000002</v>
      </c>
      <c r="CA11">
        <v>36893</v>
      </c>
      <c r="CB11">
        <v>14751</v>
      </c>
      <c r="CC11">
        <v>11295</v>
      </c>
      <c r="CD11">
        <v>0</v>
      </c>
      <c r="CE11">
        <v>0</v>
      </c>
      <c r="CF11" s="27">
        <f t="shared" si="36"/>
        <v>3.2476230621516451E-2</v>
      </c>
      <c r="CH11" s="73"/>
      <c r="CL11" s="49">
        <f t="shared" si="37"/>
        <v>15700</v>
      </c>
      <c r="CM11">
        <v>23111</v>
      </c>
      <c r="CN11">
        <v>16139</v>
      </c>
      <c r="CO11">
        <v>8545</v>
      </c>
      <c r="CP11">
        <v>0</v>
      </c>
      <c r="CQ11">
        <v>0</v>
      </c>
      <c r="CR11" s="27">
        <f t="shared" si="38"/>
        <v>0.1531914434579994</v>
      </c>
      <c r="CT11" s="73"/>
      <c r="CW11" s="27">
        <v>0.10882787438556078</v>
      </c>
      <c r="CX11" s="27">
        <v>0</v>
      </c>
    </row>
    <row r="12" spans="1:207" hidden="1" x14ac:dyDescent="0.3">
      <c r="A12" s="151"/>
      <c r="B12" s="23"/>
      <c r="C12" s="23"/>
      <c r="D12" s="24">
        <f t="shared" si="39"/>
        <v>12426.400000000001</v>
      </c>
      <c r="E12" s="23">
        <v>20547</v>
      </c>
      <c r="F12">
        <v>10519</v>
      </c>
      <c r="G12">
        <v>0</v>
      </c>
      <c r="H12">
        <v>0</v>
      </c>
      <c r="I12">
        <v>0</v>
      </c>
      <c r="J12" s="27">
        <v>0.10772835976305727</v>
      </c>
      <c r="K12" s="27">
        <v>0</v>
      </c>
      <c r="L12" s="27">
        <f t="shared" si="29"/>
        <v>2.107841085109053E-2</v>
      </c>
      <c r="N12" s="73"/>
      <c r="R12" s="49">
        <f t="shared" si="30"/>
        <v>38498.200000000004</v>
      </c>
      <c r="S12">
        <v>75719</v>
      </c>
      <c r="T12">
        <v>20213</v>
      </c>
      <c r="U12">
        <v>1352</v>
      </c>
      <c r="V12">
        <v>0</v>
      </c>
      <c r="W12">
        <v>627</v>
      </c>
      <c r="X12" s="27">
        <f t="shared" si="31"/>
        <v>0.26741818486281993</v>
      </c>
      <c r="Z12" s="73"/>
      <c r="AD12" s="49">
        <f t="shared" si="11"/>
        <v>20145.600000000002</v>
      </c>
      <c r="AE12">
        <v>38062</v>
      </c>
      <c r="AF12">
        <v>12302</v>
      </c>
      <c r="AG12">
        <v>12573</v>
      </c>
      <c r="AH12">
        <v>0</v>
      </c>
      <c r="AI12">
        <v>0</v>
      </c>
      <c r="AJ12" s="27">
        <f t="shared" si="32"/>
        <v>0.17779101943530667</v>
      </c>
      <c r="AL12" s="73"/>
      <c r="AP12" s="49">
        <f t="shared" si="15"/>
        <v>26626.800000000003</v>
      </c>
      <c r="AQ12">
        <v>43948</v>
      </c>
      <c r="AR12">
        <v>22619</v>
      </c>
      <c r="AS12">
        <v>19229</v>
      </c>
      <c r="AT12">
        <v>0</v>
      </c>
      <c r="AU12">
        <v>0</v>
      </c>
      <c r="AV12" s="27">
        <f t="shared" si="33"/>
        <v>7.8638310829982572E-2</v>
      </c>
      <c r="AX12" s="73"/>
      <c r="BB12" s="49">
        <f t="shared" si="12"/>
        <v>26692.799999999999</v>
      </c>
      <c r="BC12">
        <v>52090</v>
      </c>
      <c r="BD12">
        <v>14642</v>
      </c>
      <c r="BE12">
        <v>0</v>
      </c>
      <c r="BF12">
        <v>0</v>
      </c>
      <c r="BG12">
        <v>0</v>
      </c>
      <c r="BH12" s="27">
        <f t="shared" si="34"/>
        <v>5.460675908282743E-2</v>
      </c>
      <c r="BJ12" s="73"/>
      <c r="BN12" s="49">
        <f t="shared" si="13"/>
        <v>38189.200000000004</v>
      </c>
      <c r="BO12">
        <v>80641</v>
      </c>
      <c r="BP12">
        <v>14832</v>
      </c>
      <c r="BQ12">
        <v>12152</v>
      </c>
      <c r="BR12">
        <v>0</v>
      </c>
      <c r="BS12">
        <v>0</v>
      </c>
      <c r="BT12" s="27">
        <f t="shared" si="35"/>
        <v>6.5378384066802603E-2</v>
      </c>
      <c r="BV12" s="73"/>
      <c r="BZ12" s="49">
        <f t="shared" si="14"/>
        <v>20588.800000000003</v>
      </c>
      <c r="CA12">
        <v>36733</v>
      </c>
      <c r="CB12">
        <v>14739</v>
      </c>
      <c r="CC12">
        <v>11293</v>
      </c>
      <c r="CD12">
        <v>0</v>
      </c>
      <c r="CE12">
        <v>0</v>
      </c>
      <c r="CF12" s="27">
        <f t="shared" si="36"/>
        <v>3.5698562128237417E-2</v>
      </c>
      <c r="CH12" s="73"/>
      <c r="CL12" s="49">
        <f t="shared" si="37"/>
        <v>15551.2</v>
      </c>
      <c r="CM12">
        <v>22757</v>
      </c>
      <c r="CN12">
        <v>16121</v>
      </c>
      <c r="CO12">
        <v>8349</v>
      </c>
      <c r="CP12">
        <v>0</v>
      </c>
      <c r="CQ12">
        <v>0</v>
      </c>
      <c r="CR12" s="27">
        <f t="shared" si="38"/>
        <v>0.16121724684739105</v>
      </c>
      <c r="CT12" s="73"/>
      <c r="CW12" s="27">
        <v>0.10772835976305727</v>
      </c>
      <c r="CX12" s="27">
        <v>0</v>
      </c>
    </row>
    <row r="13" spans="1:207" hidden="1" x14ac:dyDescent="0.3">
      <c r="A13" s="151"/>
      <c r="B13" s="23"/>
      <c r="C13" s="23"/>
      <c r="D13" s="24">
        <f t="shared" si="39"/>
        <v>12390.8</v>
      </c>
      <c r="E13" s="23">
        <v>20621</v>
      </c>
      <c r="F13">
        <v>10356</v>
      </c>
      <c r="G13">
        <v>0</v>
      </c>
      <c r="H13">
        <v>0</v>
      </c>
      <c r="I13">
        <v>0</v>
      </c>
      <c r="J13" s="27">
        <v>0.10795822734105759</v>
      </c>
      <c r="K13" s="27">
        <v>0</v>
      </c>
      <c r="L13" s="27">
        <f t="shared" si="29"/>
        <v>2.1755842850999234E-2</v>
      </c>
      <c r="N13" s="73"/>
      <c r="R13" s="49">
        <f t="shared" si="30"/>
        <v>38306.6</v>
      </c>
      <c r="S13">
        <v>75305</v>
      </c>
      <c r="T13">
        <v>20220</v>
      </c>
      <c r="U13">
        <v>426</v>
      </c>
      <c r="V13">
        <v>0</v>
      </c>
      <c r="W13">
        <v>483</v>
      </c>
      <c r="X13" s="27">
        <f t="shared" si="31"/>
        <v>0.27106413910951949</v>
      </c>
      <c r="Z13" s="73"/>
      <c r="AD13" s="49">
        <f t="shared" si="11"/>
        <v>19962.400000000001</v>
      </c>
      <c r="AE13">
        <v>37680</v>
      </c>
      <c r="AF13">
        <v>12226</v>
      </c>
      <c r="AG13">
        <v>12671</v>
      </c>
      <c r="AH13">
        <v>0</v>
      </c>
      <c r="AI13">
        <v>0</v>
      </c>
      <c r="AJ13" s="27">
        <f t="shared" si="32"/>
        <v>0.18526802112497848</v>
      </c>
      <c r="AL13" s="73"/>
      <c r="AP13" s="49">
        <f t="shared" si="15"/>
        <v>26736.400000000001</v>
      </c>
      <c r="AQ13">
        <v>44188</v>
      </c>
      <c r="AR13">
        <v>22653</v>
      </c>
      <c r="AS13">
        <v>16027</v>
      </c>
      <c r="AT13">
        <v>0</v>
      </c>
      <c r="AU13">
        <v>0</v>
      </c>
      <c r="AV13" s="27">
        <f t="shared" si="33"/>
        <v>7.4845844550405882E-2</v>
      </c>
      <c r="AX13" s="73"/>
      <c r="BB13" s="49">
        <f t="shared" si="12"/>
        <v>26586</v>
      </c>
      <c r="BC13">
        <v>51740</v>
      </c>
      <c r="BD13">
        <v>14725</v>
      </c>
      <c r="BE13">
        <v>0</v>
      </c>
      <c r="BF13">
        <v>0</v>
      </c>
      <c r="BG13">
        <v>0</v>
      </c>
      <c r="BH13" s="27">
        <f t="shared" si="34"/>
        <v>5.8389352071571712E-2</v>
      </c>
      <c r="BJ13" s="73"/>
      <c r="BN13" s="49">
        <f t="shared" si="13"/>
        <v>38239.599999999999</v>
      </c>
      <c r="BO13">
        <v>80810</v>
      </c>
      <c r="BP13">
        <v>14789</v>
      </c>
      <c r="BQ13">
        <v>12115</v>
      </c>
      <c r="BR13">
        <v>0</v>
      </c>
      <c r="BS13">
        <v>0</v>
      </c>
      <c r="BT13" s="27">
        <f t="shared" si="35"/>
        <v>6.4144922003103233E-2</v>
      </c>
      <c r="BV13" s="73"/>
      <c r="BZ13" s="49">
        <f t="shared" si="14"/>
        <v>20530.8</v>
      </c>
      <c r="CA13">
        <v>36595</v>
      </c>
      <c r="CB13">
        <v>14732</v>
      </c>
      <c r="CC13">
        <v>11305</v>
      </c>
      <c r="CD13">
        <v>0</v>
      </c>
      <c r="CE13">
        <v>0</v>
      </c>
      <c r="CF13" s="27">
        <f t="shared" si="36"/>
        <v>3.8415062526345405E-2</v>
      </c>
      <c r="CH13" s="73"/>
      <c r="CL13" s="49">
        <f t="shared" si="37"/>
        <v>15763.2</v>
      </c>
      <c r="CM13">
        <v>23261</v>
      </c>
      <c r="CN13">
        <v>16147</v>
      </c>
      <c r="CO13">
        <v>9764</v>
      </c>
      <c r="CP13">
        <v>0</v>
      </c>
      <c r="CQ13">
        <v>0</v>
      </c>
      <c r="CR13" s="27">
        <f t="shared" si="38"/>
        <v>0.14978263449153731</v>
      </c>
      <c r="CT13" s="73"/>
      <c r="CW13" s="27">
        <v>0.10795822734105759</v>
      </c>
      <c r="CX13" s="27">
        <v>0</v>
      </c>
    </row>
    <row r="14" spans="1:207" s="4" customFormat="1" x14ac:dyDescent="0.3">
      <c r="A14" s="15" t="s">
        <v>48</v>
      </c>
      <c r="B14" s="41" t="s">
        <v>42</v>
      </c>
      <c r="C14" s="41">
        <v>22829</v>
      </c>
      <c r="D14" s="32">
        <f>AVERAGE(D9:D13)</f>
        <v>12486.480000000001</v>
      </c>
      <c r="E14" s="31">
        <f>AVERAGE(E9:E13)</f>
        <v>20793.599999999999</v>
      </c>
      <c r="F14" s="31">
        <f>AVERAGE(F9:F13)</f>
        <v>10422.6</v>
      </c>
      <c r="G14" s="33">
        <f t="shared" ref="G14:I14" si="40">AVERAGE(G9:G13)</f>
        <v>0</v>
      </c>
      <c r="H14" s="33">
        <f t="shared" si="40"/>
        <v>0</v>
      </c>
      <c r="I14" s="33">
        <f t="shared" si="40"/>
        <v>0</v>
      </c>
      <c r="J14" s="27">
        <v>0.11512995482243996</v>
      </c>
      <c r="K14" s="84">
        <v>3.7227842952329022E-3</v>
      </c>
      <c r="L14" s="83">
        <f>(B14-D14)/B14</f>
        <v>7.7405959760900173E-2</v>
      </c>
      <c r="M14" s="85">
        <f>_xlfn.STDEV.S(L9:L13)</f>
        <v>3.5147954706955405E-3</v>
      </c>
      <c r="N14" s="73">
        <f t="shared" ref="N14" si="41">(C14-E14)/C14</f>
        <v>8.9158526435673985E-2</v>
      </c>
      <c r="O14" s="27" t="e">
        <f>_xlfn.STDEV.S(N9:N13)</f>
        <v>#DIV/0!</v>
      </c>
      <c r="P14">
        <v>52551.4</v>
      </c>
      <c r="Q14" s="26">
        <v>81057</v>
      </c>
      <c r="R14" s="49">
        <f>AVERAGE(R9:R13)</f>
        <v>38277.240000000005</v>
      </c>
      <c r="S14">
        <f>AVERAGE(S9:S13)</f>
        <v>75106.600000000006</v>
      </c>
      <c r="T14">
        <f t="shared" ref="T14:W14" si="42">AVERAGE(T9:T13)</f>
        <v>20144.8</v>
      </c>
      <c r="U14">
        <f t="shared" si="42"/>
        <v>668.4</v>
      </c>
      <c r="V14">
        <f t="shared" si="42"/>
        <v>0</v>
      </c>
      <c r="W14">
        <f t="shared" si="42"/>
        <v>883.4</v>
      </c>
      <c r="X14" s="27">
        <f t="shared" ref="X14" si="43">(P14-R14)/P14</f>
        <v>0.27162283021955641</v>
      </c>
      <c r="Y14" s="27">
        <f>_xlfn.STDEV.S(X9:X13)</f>
        <v>7.2352626538736324E-3</v>
      </c>
      <c r="Z14" s="73">
        <f t="shared" ref="Z14" si="44">(Q14-S14)/Q14</f>
        <v>7.3410069457295418E-2</v>
      </c>
      <c r="AA14" s="27" t="e">
        <f>_xlfn.STDEV.S(Z9:Z13)</f>
        <v>#DIV/0!</v>
      </c>
      <c r="AB14">
        <v>24501.8</v>
      </c>
      <c r="AC14">
        <v>48120</v>
      </c>
      <c r="AD14" s="49">
        <f>AVERAGE(AD9:AD13)</f>
        <v>20056.879999999997</v>
      </c>
      <c r="AE14">
        <f>AVERAGE(AE9:AE13)</f>
        <v>37892.400000000001</v>
      </c>
      <c r="AF14">
        <f t="shared" ref="AF14:AI14" si="45">AVERAGE(AF9:AF13)</f>
        <v>12249.8</v>
      </c>
      <c r="AG14">
        <f t="shared" si="45"/>
        <v>12699.6</v>
      </c>
      <c r="AH14">
        <f t="shared" si="45"/>
        <v>0</v>
      </c>
      <c r="AI14">
        <f t="shared" si="45"/>
        <v>0</v>
      </c>
      <c r="AJ14" s="27">
        <f t="shared" ref="AJ14" si="46">(AB14-AD14)/AB14</f>
        <v>0.18141197789550165</v>
      </c>
      <c r="AK14" s="27">
        <f>_xlfn.STDEV.S(AJ9:AJ13)</f>
        <v>3.9099151183315832E-3</v>
      </c>
      <c r="AL14" s="73">
        <f t="shared" ref="AL14" si="47">(AC14-AE14)/AC14</f>
        <v>0.21254364089775557</v>
      </c>
      <c r="AM14" s="27" t="e">
        <f>_xlfn.STDEV.S(AL9:AL13)</f>
        <v>#DIV/0!</v>
      </c>
      <c r="AN14">
        <v>28899.4</v>
      </c>
      <c r="AO14">
        <v>48676</v>
      </c>
      <c r="AP14" s="49">
        <f>AVERAGE(AP9:AP13)</f>
        <v>26617.200000000001</v>
      </c>
      <c r="AQ14">
        <f>AVERAGE(AQ9:AQ13)</f>
        <v>43948.4</v>
      </c>
      <c r="AR14">
        <f t="shared" ref="AR14:AU14" si="48">AVERAGE(AR9:AR13)</f>
        <v>22594.6</v>
      </c>
      <c r="AS14">
        <f t="shared" si="48"/>
        <v>13296.6</v>
      </c>
      <c r="AT14">
        <f t="shared" si="48"/>
        <v>0</v>
      </c>
      <c r="AU14">
        <f t="shared" si="48"/>
        <v>0</v>
      </c>
      <c r="AV14" s="27">
        <f t="shared" ref="AV14" si="49">(AN14-AP14)/AN14</f>
        <v>7.8970497657390837E-2</v>
      </c>
      <c r="AW14" s="27">
        <f>_xlfn.STDEV.S(AV9:AV13)</f>
        <v>4.5032263444213317E-3</v>
      </c>
      <c r="AX14" s="73">
        <f>(AO14-AQ14)/AO14</f>
        <v>9.7123839263702827E-2</v>
      </c>
      <c r="AY14" s="27" t="e">
        <f>_xlfn.STDEV.S(AX9:AX13)</f>
        <v>#DIV/0!</v>
      </c>
      <c r="AZ14">
        <v>28234.6</v>
      </c>
      <c r="BA14">
        <v>55474</v>
      </c>
      <c r="BB14" s="49">
        <f>AVERAGE(BB9:BB13)</f>
        <v>26679.440000000002</v>
      </c>
      <c r="BC14">
        <f>AVERAGE(BC9:BC13)</f>
        <v>52036.6</v>
      </c>
      <c r="BD14">
        <f t="shared" ref="BD14:BG14" si="50">AVERAGE(BD9:BD13)</f>
        <v>14662</v>
      </c>
      <c r="BE14">
        <f t="shared" si="50"/>
        <v>0</v>
      </c>
      <c r="BF14">
        <f t="shared" si="50"/>
        <v>0</v>
      </c>
      <c r="BG14">
        <f t="shared" si="50"/>
        <v>0</v>
      </c>
      <c r="BH14" s="27">
        <f t="shared" ref="BH14" si="51">(AZ14-BB14)/AZ14</f>
        <v>5.5079937381793835E-2</v>
      </c>
      <c r="BI14" s="84">
        <f>_xlfn.STDEV.S(BH9:BH13)</f>
        <v>1.9490744167607738E-3</v>
      </c>
      <c r="BJ14" s="73">
        <f t="shared" ref="BJ14" si="52">(BA14-BC14)/BA14</f>
        <v>6.1964163391859277E-2</v>
      </c>
      <c r="BK14" s="27" t="e">
        <f>_xlfn.STDEV.S(BJ9:BJ13)</f>
        <v>#DIV/0!</v>
      </c>
      <c r="BL14">
        <v>40860.6</v>
      </c>
      <c r="BM14">
        <v>86423</v>
      </c>
      <c r="BN14" s="49">
        <f>AVERAGE(BN9:BN13)</f>
        <v>38230.480000000003</v>
      </c>
      <c r="BO14">
        <f>AVERAGE(BO9:BO13)</f>
        <v>80748.399999999994</v>
      </c>
      <c r="BP14">
        <f t="shared" ref="BP14:BS14" si="53">AVERAGE(BP9:BP13)</f>
        <v>14827.8</v>
      </c>
      <c r="BQ14">
        <f t="shared" si="53"/>
        <v>9974.2000000000007</v>
      </c>
      <c r="BR14">
        <f t="shared" si="53"/>
        <v>0</v>
      </c>
      <c r="BS14">
        <f t="shared" si="53"/>
        <v>0</v>
      </c>
      <c r="BT14" s="27">
        <f t="shared" ref="BT14" si="54">(BL14-BN14)/BL14</f>
        <v>6.4368119900343981E-2</v>
      </c>
      <c r="BU14" s="27">
        <f>_xlfn.STDEV.S(BT9:BT13)</f>
        <v>8.1509167117604496E-4</v>
      </c>
      <c r="BV14" s="73">
        <f t="shared" ref="BV14" si="55">(BM14-BO14)/BM14</f>
        <v>6.566076160281413E-2</v>
      </c>
      <c r="BW14" s="27" t="e">
        <f>_xlfn.STDEV.S(BV9:BV13)</f>
        <v>#DIV/0!</v>
      </c>
      <c r="BX14">
        <v>21351</v>
      </c>
      <c r="BY14">
        <v>38534</v>
      </c>
      <c r="BZ14" s="49">
        <f>AVERAGE(BZ9:BZ13)</f>
        <v>20571.200000000004</v>
      </c>
      <c r="CA14">
        <f>AVERAGE(CA9:CA13)</f>
        <v>36690.400000000001</v>
      </c>
      <c r="CB14">
        <f t="shared" ref="CB14:CE20" si="56">AVERAGE(CB9:CB13)</f>
        <v>14737.6</v>
      </c>
      <c r="CC14">
        <f t="shared" si="56"/>
        <v>11299.2</v>
      </c>
      <c r="CD14">
        <f t="shared" si="56"/>
        <v>0</v>
      </c>
      <c r="CE14">
        <f t="shared" si="56"/>
        <v>0</v>
      </c>
      <c r="CF14" s="27">
        <f>(BX14-BZ14)/BX14</f>
        <v>3.6522879490421788E-2</v>
      </c>
      <c r="CG14" s="27">
        <f>_xlfn.STDEV.S(CF9:CF13)</f>
        <v>2.913588968471392E-3</v>
      </c>
      <c r="CH14" s="73">
        <f t="shared" ref="CH14" si="57">(BY14-CA14)/BY14</f>
        <v>4.7843462915866469E-2</v>
      </c>
      <c r="CI14" s="27" t="e">
        <f>_xlfn.STDEV.S(CH9:CH13)</f>
        <v>#DIV/0!</v>
      </c>
      <c r="CJ14">
        <v>18540.2</v>
      </c>
      <c r="CK14">
        <v>28067</v>
      </c>
      <c r="CL14" s="49">
        <f>AVERAGE(CL9:CL13)</f>
        <v>15654.279999999999</v>
      </c>
      <c r="CM14">
        <f t="shared" ref="CM14:CQ20" si="58">AVERAGE(CM9:CM13)</f>
        <v>22994.400000000001</v>
      </c>
      <c r="CN14">
        <f t="shared" si="58"/>
        <v>16133.6</v>
      </c>
      <c r="CO14">
        <f t="shared" si="58"/>
        <v>9122.6</v>
      </c>
      <c r="CP14">
        <f t="shared" si="58"/>
        <v>0</v>
      </c>
      <c r="CQ14">
        <f t="shared" si="58"/>
        <v>15.4</v>
      </c>
      <c r="CR14" s="83">
        <f t="shared" ref="CR14" si="59">(CJ14-CL14)/CJ14</f>
        <v>0.15565743627361095</v>
      </c>
      <c r="CS14" s="83">
        <f>_xlfn.STDEV.S(CR9:CR13)</f>
        <v>4.9413197181329225E-3</v>
      </c>
      <c r="CT14" s="73">
        <f t="shared" ref="CT14" si="60">(CK14-CM14)/CK14</f>
        <v>0.18073182028716994</v>
      </c>
      <c r="CU14" s="27" t="e">
        <f>_xlfn.STDEV.S(CT9:CT13)</f>
        <v>#DIV/0!</v>
      </c>
      <c r="CV14"/>
      <c r="CW14" s="27">
        <v>0.11512995482243996</v>
      </c>
      <c r="CX14" s="27">
        <v>3.7227842952329022E-3</v>
      </c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GV14" s="4" t="e">
        <f t="shared" ref="GV14:GY14" si="61">AVERAGE(GV9:GV13)</f>
        <v>#DIV/0!</v>
      </c>
      <c r="GW14" s="4" t="e">
        <f t="shared" si="61"/>
        <v>#DIV/0!</v>
      </c>
      <c r="GX14" s="4" t="e">
        <f t="shared" si="61"/>
        <v>#DIV/0!</v>
      </c>
      <c r="GY14" s="4" t="e">
        <f t="shared" si="61"/>
        <v>#DIV/0!</v>
      </c>
    </row>
    <row r="15" spans="1:207" hidden="1" x14ac:dyDescent="0.3">
      <c r="A15" s="150" t="s">
        <v>49</v>
      </c>
      <c r="B15" s="23"/>
      <c r="C15" s="23"/>
      <c r="D15" s="24">
        <f t="shared" ref="D15:D19" si="62">0.4 * E15 + 0.4 * F15 + 0.2 * I15</f>
        <v>12426.400000000001</v>
      </c>
      <c r="E15" s="23">
        <v>20547</v>
      </c>
      <c r="F15">
        <v>10519</v>
      </c>
      <c r="G15">
        <v>0</v>
      </c>
      <c r="H15">
        <v>0</v>
      </c>
      <c r="I15">
        <v>0</v>
      </c>
      <c r="J15" s="27">
        <v>0.1096599492471387</v>
      </c>
      <c r="K15" s="27">
        <v>0</v>
      </c>
      <c r="L15" s="27">
        <f>($B$20-D15)/$P$20</f>
        <v>2.1079912620546336E-2</v>
      </c>
      <c r="N15" s="73"/>
      <c r="R15" s="49">
        <f>0.4 *S15 + 0.4 * T15 + 0.2 * W15</f>
        <v>37611.4</v>
      </c>
      <c r="S15">
        <v>73575</v>
      </c>
      <c r="T15">
        <v>19925</v>
      </c>
      <c r="U15">
        <v>529</v>
      </c>
      <c r="V15">
        <v>0</v>
      </c>
      <c r="W15">
        <v>1057</v>
      </c>
      <c r="X15" s="27">
        <f>($P$20-R15)/$P$20</f>
        <v>0.28430671101605254</v>
      </c>
      <c r="Z15" s="73"/>
      <c r="AD15" s="49">
        <f t="shared" si="11"/>
        <v>19962.400000000001</v>
      </c>
      <c r="AE15">
        <v>37680</v>
      </c>
      <c r="AF15">
        <v>12226</v>
      </c>
      <c r="AG15">
        <v>11669</v>
      </c>
      <c r="AH15">
        <v>0</v>
      </c>
      <c r="AI15">
        <v>0</v>
      </c>
      <c r="AJ15" s="27">
        <f>($AB$20-AD15)/$AB$20</f>
        <v>0.18530127169139846</v>
      </c>
      <c r="AL15" s="73"/>
      <c r="AP15" s="49">
        <f t="shared" si="15"/>
        <v>26464.800000000003</v>
      </c>
      <c r="AQ15">
        <v>43611</v>
      </c>
      <c r="AR15">
        <v>22551</v>
      </c>
      <c r="AS15">
        <v>20154</v>
      </c>
      <c r="AT15">
        <v>0</v>
      </c>
      <c r="AU15">
        <v>0</v>
      </c>
      <c r="AV15" s="27">
        <f>($AN$20-AP15)/$AN$20</f>
        <v>8.427565016401152E-2</v>
      </c>
      <c r="AX15" s="73"/>
      <c r="BB15" s="49">
        <f t="shared" si="12"/>
        <v>26732.800000000003</v>
      </c>
      <c r="BC15">
        <v>52173</v>
      </c>
      <c r="BD15">
        <v>14659</v>
      </c>
      <c r="BE15">
        <v>0</v>
      </c>
      <c r="BF15">
        <v>0</v>
      </c>
      <c r="BG15">
        <v>0</v>
      </c>
      <c r="BH15" s="27">
        <f>($AZ$20-BB15)/$AZ$20</f>
        <v>5.3223590077774004E-2</v>
      </c>
      <c r="BJ15" s="73"/>
      <c r="BN15" s="49">
        <f t="shared" si="13"/>
        <v>38273.600000000006</v>
      </c>
      <c r="BO15">
        <v>80841</v>
      </c>
      <c r="BP15">
        <v>14843</v>
      </c>
      <c r="BQ15">
        <v>13070</v>
      </c>
      <c r="BR15">
        <v>0</v>
      </c>
      <c r="BS15">
        <v>0</v>
      </c>
      <c r="BT15" s="27">
        <f>($BL$20-BN15)/$BL$20</f>
        <v>6.3335747988331165E-2</v>
      </c>
      <c r="BV15" s="73"/>
      <c r="BZ15" s="49">
        <f t="shared" si="14"/>
        <v>20584.400000000001</v>
      </c>
      <c r="CA15">
        <v>36723</v>
      </c>
      <c r="CB15">
        <v>14738</v>
      </c>
      <c r="CC15">
        <v>11318</v>
      </c>
      <c r="CD15">
        <v>0</v>
      </c>
      <c r="CE15">
        <v>0</v>
      </c>
      <c r="CF15" s="27">
        <f>($BX$20-BZ15)/$BX$20</f>
        <v>3.5949793930310912E-2</v>
      </c>
      <c r="CH15" s="73"/>
      <c r="CL15" s="49">
        <f>0.4 *CM15 + 0.4 *CN15 + 0.2 * CQ15</f>
        <v>15763.6</v>
      </c>
      <c r="CM15">
        <v>23261</v>
      </c>
      <c r="CN15">
        <v>16148</v>
      </c>
      <c r="CO15">
        <v>9963</v>
      </c>
      <c r="CP15">
        <v>0</v>
      </c>
      <c r="CQ15">
        <v>0</v>
      </c>
      <c r="CR15" s="27">
        <f>($CJ$20-CL15)/$CJ$20</f>
        <v>0.14980691648868466</v>
      </c>
      <c r="CT15" s="73"/>
      <c r="CW15" s="27">
        <v>0.1096599492471387</v>
      </c>
      <c r="CX15" s="27">
        <v>0</v>
      </c>
    </row>
    <row r="16" spans="1:207" hidden="1" x14ac:dyDescent="0.3">
      <c r="A16" s="151"/>
      <c r="B16" s="23"/>
      <c r="C16" s="23"/>
      <c r="D16" s="24">
        <f t="shared" si="62"/>
        <v>12374.400000000001</v>
      </c>
      <c r="E16" s="23">
        <v>20587</v>
      </c>
      <c r="F16">
        <v>10349</v>
      </c>
      <c r="G16">
        <v>0</v>
      </c>
      <c r="H16">
        <v>0</v>
      </c>
      <c r="I16">
        <v>0</v>
      </c>
      <c r="J16" s="27">
        <v>0.10662837187119981</v>
      </c>
      <c r="K16" s="27">
        <v>0</v>
      </c>
      <c r="L16" s="27">
        <f t="shared" ref="L16:L19" si="63">($B$20-D16)/$P$20</f>
        <v>2.206940120717606E-2</v>
      </c>
      <c r="N16" s="73"/>
      <c r="R16" s="49">
        <f t="shared" ref="R16:R19" si="64">0.4 *S16 + 0.4 * T16 + 0.2 * W16</f>
        <v>38904.6</v>
      </c>
      <c r="S16">
        <v>76559</v>
      </c>
      <c r="T16">
        <v>20446</v>
      </c>
      <c r="U16">
        <v>2444</v>
      </c>
      <c r="V16">
        <v>0</v>
      </c>
      <c r="W16">
        <v>513</v>
      </c>
      <c r="X16" s="27">
        <f t="shared" ref="X16:X19" si="65">($P$20-R16)/$P$20</f>
        <v>0.25969889101163796</v>
      </c>
      <c r="Z16" s="73"/>
      <c r="AD16" s="49">
        <f t="shared" si="11"/>
        <v>20047.2</v>
      </c>
      <c r="AE16">
        <v>37852</v>
      </c>
      <c r="AF16">
        <v>12266</v>
      </c>
      <c r="AG16">
        <v>12375</v>
      </c>
      <c r="AH16">
        <v>0</v>
      </c>
      <c r="AI16">
        <v>0</v>
      </c>
      <c r="AJ16" s="27">
        <f t="shared" ref="AJ16:AJ19" si="66">($AB$20-AD16)/$AB$20</f>
        <v>0.18184044272491301</v>
      </c>
      <c r="AL16" s="73"/>
      <c r="AP16" s="49">
        <f t="shared" si="15"/>
        <v>26591.200000000004</v>
      </c>
      <c r="AQ16">
        <v>43876</v>
      </c>
      <c r="AR16">
        <v>22602</v>
      </c>
      <c r="AS16">
        <v>19282</v>
      </c>
      <c r="AT16">
        <v>0</v>
      </c>
      <c r="AU16">
        <v>0</v>
      </c>
      <c r="AV16" s="27">
        <f t="shared" ref="AV16:AV19" si="67">($AN$20-AP16)/$AN$20</f>
        <v>7.990200827670195E-2</v>
      </c>
      <c r="AX16" s="73"/>
      <c r="BB16" s="49">
        <f t="shared" si="12"/>
        <v>26586</v>
      </c>
      <c r="BC16">
        <v>51740</v>
      </c>
      <c r="BD16">
        <v>14725</v>
      </c>
      <c r="BE16">
        <v>0</v>
      </c>
      <c r="BF16">
        <v>0</v>
      </c>
      <c r="BG16">
        <v>0</v>
      </c>
      <c r="BH16" s="27">
        <f t="shared" ref="BH16:BH19" si="68">($AZ$20-BB16)/$AZ$20</f>
        <v>5.8422700420745391E-2</v>
      </c>
      <c r="BJ16" s="73"/>
      <c r="BN16" s="49">
        <f t="shared" si="13"/>
        <v>38226.400000000001</v>
      </c>
      <c r="BO16">
        <v>80722</v>
      </c>
      <c r="BP16">
        <v>14844</v>
      </c>
      <c r="BQ16">
        <v>12199</v>
      </c>
      <c r="BR16">
        <v>0</v>
      </c>
      <c r="BS16">
        <v>0</v>
      </c>
      <c r="BT16" s="27">
        <f t="shared" ref="BT16:BT19" si="69">($BL$20-BN16)/$BL$20</f>
        <v>6.449086673062232E-2</v>
      </c>
      <c r="BV16" s="73"/>
      <c r="BZ16" s="49">
        <f t="shared" si="14"/>
        <v>20597.2</v>
      </c>
      <c r="CA16">
        <v>36752</v>
      </c>
      <c r="CB16">
        <v>14741</v>
      </c>
      <c r="CC16">
        <v>11291</v>
      </c>
      <c r="CD16">
        <v>0</v>
      </c>
      <c r="CE16">
        <v>0</v>
      </c>
      <c r="CF16" s="27">
        <f t="shared" ref="CF16:CF18" si="70">($BX$20-BZ16)/$BX$20</f>
        <v>3.5350318471337544E-2</v>
      </c>
      <c r="CH16" s="73"/>
      <c r="CL16" s="49">
        <f t="shared" ref="CL16:CL19" si="71">0.4 *CM16 + 0.4 *CN16 + 0.2 * CQ16</f>
        <v>15736.800000000001</v>
      </c>
      <c r="CM16">
        <v>23199</v>
      </c>
      <c r="CN16">
        <v>16143</v>
      </c>
      <c r="CO16">
        <v>10167</v>
      </c>
      <c r="CP16">
        <v>0</v>
      </c>
      <c r="CQ16">
        <v>0</v>
      </c>
      <c r="CR16" s="27">
        <f t="shared" ref="CR16:CR19" si="72">($CJ$20-CL16)/$CJ$20</f>
        <v>0.15125234612646429</v>
      </c>
      <c r="CT16" s="73"/>
      <c r="CW16" s="27">
        <v>0.10662837187119981</v>
      </c>
      <c r="CX16" s="27">
        <v>0</v>
      </c>
    </row>
    <row r="17" spans="1:207" hidden="1" x14ac:dyDescent="0.3">
      <c r="A17" s="151"/>
      <c r="B17" s="23"/>
      <c r="C17" s="23"/>
      <c r="D17" s="24">
        <f t="shared" si="62"/>
        <v>12858</v>
      </c>
      <c r="E17" s="23">
        <v>21656</v>
      </c>
      <c r="F17">
        <v>10489</v>
      </c>
      <c r="G17">
        <v>0</v>
      </c>
      <c r="H17">
        <v>0</v>
      </c>
      <c r="I17">
        <v>0</v>
      </c>
      <c r="J17" s="27">
        <v>0.10705103978086354</v>
      </c>
      <c r="K17" s="27">
        <v>0</v>
      </c>
      <c r="L17" s="27">
        <f t="shared" si="63"/>
        <v>1.286715735151964E-2</v>
      </c>
      <c r="N17" s="73"/>
      <c r="R17" s="49">
        <f t="shared" si="64"/>
        <v>38869.600000000006</v>
      </c>
      <c r="S17">
        <v>76401</v>
      </c>
      <c r="T17">
        <v>20457</v>
      </c>
      <c r="U17">
        <v>1255</v>
      </c>
      <c r="V17">
        <v>0</v>
      </c>
      <c r="W17">
        <v>632</v>
      </c>
      <c r="X17" s="27">
        <f t="shared" si="65"/>
        <v>0.2603648929449463</v>
      </c>
      <c r="Z17" s="73"/>
      <c r="AD17" s="49">
        <f t="shared" si="11"/>
        <v>19962.400000000001</v>
      </c>
      <c r="AE17">
        <v>37680</v>
      </c>
      <c r="AF17">
        <v>12226</v>
      </c>
      <c r="AG17">
        <v>12671</v>
      </c>
      <c r="AH17">
        <v>0</v>
      </c>
      <c r="AI17">
        <v>0</v>
      </c>
      <c r="AJ17" s="27">
        <f t="shared" si="66"/>
        <v>0.18530127169139846</v>
      </c>
      <c r="AL17" s="73"/>
      <c r="AP17" s="49">
        <f t="shared" si="15"/>
        <v>26522.400000000001</v>
      </c>
      <c r="AQ17">
        <v>43738</v>
      </c>
      <c r="AR17">
        <v>22568</v>
      </c>
      <c r="AS17">
        <v>19282</v>
      </c>
      <c r="AT17">
        <v>0</v>
      </c>
      <c r="AU17">
        <v>0</v>
      </c>
      <c r="AV17" s="27">
        <f t="shared" si="67"/>
        <v>8.2282598164731283E-2</v>
      </c>
      <c r="AX17" s="73"/>
      <c r="BB17" s="49">
        <f t="shared" si="12"/>
        <v>26732.800000000003</v>
      </c>
      <c r="BC17">
        <v>52173</v>
      </c>
      <c r="BD17">
        <v>14659</v>
      </c>
      <c r="BE17">
        <v>0</v>
      </c>
      <c r="BF17">
        <v>0</v>
      </c>
      <c r="BG17">
        <v>0</v>
      </c>
      <c r="BH17" s="27">
        <f t="shared" si="68"/>
        <v>5.3223590077774004E-2</v>
      </c>
      <c r="BJ17" s="73"/>
      <c r="BN17" s="49">
        <f t="shared" si="13"/>
        <v>38199.200000000004</v>
      </c>
      <c r="BO17">
        <v>80662</v>
      </c>
      <c r="BP17">
        <v>14836</v>
      </c>
      <c r="BQ17">
        <v>12122</v>
      </c>
      <c r="BR17">
        <v>0</v>
      </c>
      <c r="BS17">
        <v>0</v>
      </c>
      <c r="BT17" s="27">
        <f t="shared" si="69"/>
        <v>6.5156528378722184E-2</v>
      </c>
      <c r="BV17" s="73"/>
      <c r="BZ17" s="49">
        <f t="shared" si="14"/>
        <v>20584.400000000001</v>
      </c>
      <c r="CA17">
        <v>36723</v>
      </c>
      <c r="CB17">
        <v>14738</v>
      </c>
      <c r="CC17">
        <v>11299</v>
      </c>
      <c r="CD17">
        <v>0</v>
      </c>
      <c r="CE17">
        <v>0</v>
      </c>
      <c r="CF17" s="27">
        <f t="shared" si="70"/>
        <v>3.5949793930310912E-2</v>
      </c>
      <c r="CH17" s="73"/>
      <c r="CL17" s="49">
        <f t="shared" si="71"/>
        <v>15551.2</v>
      </c>
      <c r="CM17">
        <v>22757</v>
      </c>
      <c r="CN17">
        <v>16121</v>
      </c>
      <c r="CO17">
        <v>10216</v>
      </c>
      <c r="CP17">
        <v>0</v>
      </c>
      <c r="CQ17">
        <v>0</v>
      </c>
      <c r="CR17" s="27">
        <f t="shared" si="72"/>
        <v>0.16126248570750545</v>
      </c>
      <c r="CT17" s="73"/>
      <c r="CW17" s="27">
        <v>0.10705103978086354</v>
      </c>
      <c r="CX17" s="27">
        <v>0</v>
      </c>
    </row>
    <row r="18" spans="1:207" hidden="1" x14ac:dyDescent="0.3">
      <c r="A18" s="151"/>
      <c r="B18" s="23"/>
      <c r="C18" s="23"/>
      <c r="D18" s="24">
        <f t="shared" si="62"/>
        <v>12390.8</v>
      </c>
      <c r="E18" s="23">
        <v>20621</v>
      </c>
      <c r="F18">
        <v>10356</v>
      </c>
      <c r="G18">
        <v>0</v>
      </c>
      <c r="H18">
        <v>0</v>
      </c>
      <c r="I18">
        <v>0</v>
      </c>
      <c r="J18" s="27">
        <v>0.11124583099282347</v>
      </c>
      <c r="K18" s="27">
        <v>0</v>
      </c>
      <c r="L18" s="27">
        <f t="shared" si="63"/>
        <v>2.1757331729854421E-2</v>
      </c>
      <c r="N18" s="73"/>
      <c r="R18" s="49">
        <f t="shared" si="64"/>
        <v>37976</v>
      </c>
      <c r="S18">
        <v>74170</v>
      </c>
      <c r="T18">
        <v>20109</v>
      </c>
      <c r="U18">
        <v>344</v>
      </c>
      <c r="V18">
        <v>0</v>
      </c>
      <c r="W18">
        <v>1322</v>
      </c>
      <c r="X18" s="27">
        <f t="shared" si="65"/>
        <v>0.27736887373364494</v>
      </c>
      <c r="Z18" s="73"/>
      <c r="AD18" s="49">
        <f t="shared" si="11"/>
        <v>20049.2</v>
      </c>
      <c r="AE18">
        <v>37853</v>
      </c>
      <c r="AF18">
        <v>12270</v>
      </c>
      <c r="AG18">
        <v>12670</v>
      </c>
      <c r="AH18">
        <v>0</v>
      </c>
      <c r="AI18">
        <v>0</v>
      </c>
      <c r="AJ18" s="27">
        <f t="shared" si="66"/>
        <v>0.18175881940023175</v>
      </c>
      <c r="AL18" s="73"/>
      <c r="AP18" s="49">
        <f t="shared" si="15"/>
        <v>26346.800000000003</v>
      </c>
      <c r="AQ18">
        <v>43355</v>
      </c>
      <c r="AR18">
        <v>22512</v>
      </c>
      <c r="AS18">
        <v>20112</v>
      </c>
      <c r="AT18">
        <v>0</v>
      </c>
      <c r="AU18">
        <v>0</v>
      </c>
      <c r="AV18" s="27">
        <f t="shared" si="67"/>
        <v>8.8358638634759332E-2</v>
      </c>
      <c r="AX18" s="73"/>
      <c r="BB18" s="49">
        <f t="shared" si="12"/>
        <v>26586</v>
      </c>
      <c r="BC18">
        <v>51740</v>
      </c>
      <c r="BD18">
        <v>14725</v>
      </c>
      <c r="BE18">
        <v>0</v>
      </c>
      <c r="BF18">
        <v>0</v>
      </c>
      <c r="BG18">
        <v>0</v>
      </c>
      <c r="BH18" s="27">
        <f t="shared" si="68"/>
        <v>5.8422700420745391E-2</v>
      </c>
      <c r="BJ18" s="73"/>
      <c r="BN18" s="49">
        <f t="shared" si="13"/>
        <v>38202</v>
      </c>
      <c r="BO18">
        <v>80673</v>
      </c>
      <c r="BP18">
        <v>14832</v>
      </c>
      <c r="BQ18">
        <v>12211</v>
      </c>
      <c r="BR18">
        <v>0</v>
      </c>
      <c r="BS18">
        <v>0</v>
      </c>
      <c r="BT18" s="27">
        <f t="shared" si="69"/>
        <v>6.5088004385535525E-2</v>
      </c>
      <c r="BV18" s="73"/>
      <c r="BZ18" s="49">
        <f t="shared" si="14"/>
        <v>20584.400000000001</v>
      </c>
      <c r="CA18">
        <v>36723</v>
      </c>
      <c r="CB18">
        <v>14738</v>
      </c>
      <c r="CC18">
        <v>11299</v>
      </c>
      <c r="CD18">
        <v>0</v>
      </c>
      <c r="CE18">
        <v>0</v>
      </c>
      <c r="CF18" s="27">
        <f t="shared" si="70"/>
        <v>3.5949793930310912E-2</v>
      </c>
      <c r="CH18" s="73"/>
      <c r="CL18" s="49">
        <f t="shared" si="71"/>
        <v>15551.2</v>
      </c>
      <c r="CM18">
        <v>22757</v>
      </c>
      <c r="CN18">
        <v>16121</v>
      </c>
      <c r="CO18">
        <v>10216</v>
      </c>
      <c r="CP18">
        <v>0</v>
      </c>
      <c r="CQ18">
        <v>0</v>
      </c>
      <c r="CR18" s="27">
        <f t="shared" si="72"/>
        <v>0.16126248570750545</v>
      </c>
      <c r="CT18" s="73"/>
      <c r="CW18" s="27">
        <v>0.11124583099282347</v>
      </c>
      <c r="CX18" s="27">
        <v>0</v>
      </c>
    </row>
    <row r="19" spans="1:207" hidden="1" x14ac:dyDescent="0.3">
      <c r="A19" s="151"/>
      <c r="B19" s="23"/>
      <c r="C19" s="23"/>
      <c r="D19" s="24">
        <f t="shared" si="62"/>
        <v>12479.599999999999</v>
      </c>
      <c r="E19" s="23">
        <v>20751</v>
      </c>
      <c r="F19">
        <v>10448</v>
      </c>
      <c r="G19">
        <v>0</v>
      </c>
      <c r="H19">
        <v>0</v>
      </c>
      <c r="I19">
        <v>0</v>
      </c>
      <c r="J19" s="27">
        <v>0.10881976317969726</v>
      </c>
      <c r="K19" s="27">
        <v>0</v>
      </c>
      <c r="L19" s="27">
        <f t="shared" si="63"/>
        <v>2.0067589681917519E-2</v>
      </c>
      <c r="N19" s="73"/>
      <c r="R19" s="49">
        <f t="shared" si="64"/>
        <v>37961.199999999997</v>
      </c>
      <c r="S19">
        <v>74188</v>
      </c>
      <c r="T19">
        <v>20067</v>
      </c>
      <c r="U19">
        <v>962</v>
      </c>
      <c r="V19">
        <v>0</v>
      </c>
      <c r="W19">
        <v>1296</v>
      </c>
      <c r="X19" s="27">
        <f t="shared" si="65"/>
        <v>0.27765049740830111</v>
      </c>
      <c r="Z19" s="73"/>
      <c r="AD19" s="49">
        <f t="shared" si="11"/>
        <v>20161.599999999999</v>
      </c>
      <c r="AE19">
        <v>38150</v>
      </c>
      <c r="AF19">
        <v>12254</v>
      </c>
      <c r="AG19">
        <v>11141</v>
      </c>
      <c r="AH19">
        <v>0</v>
      </c>
      <c r="AI19">
        <v>0</v>
      </c>
      <c r="AJ19" s="27">
        <f t="shared" si="66"/>
        <v>0.17717158855314499</v>
      </c>
      <c r="AL19" s="73"/>
      <c r="AP19" s="49">
        <f t="shared" si="15"/>
        <v>26522.400000000001</v>
      </c>
      <c r="AQ19">
        <v>43738</v>
      </c>
      <c r="AR19">
        <v>22568</v>
      </c>
      <c r="AS19">
        <v>19282</v>
      </c>
      <c r="AT19">
        <v>0</v>
      </c>
      <c r="AU19">
        <v>0</v>
      </c>
      <c r="AV19" s="27">
        <f t="shared" si="67"/>
        <v>8.2282598164731283E-2</v>
      </c>
      <c r="AX19" s="73"/>
      <c r="BB19" s="49">
        <f t="shared" si="12"/>
        <v>26586</v>
      </c>
      <c r="BC19">
        <v>51740</v>
      </c>
      <c r="BD19">
        <v>14725</v>
      </c>
      <c r="BE19">
        <v>0</v>
      </c>
      <c r="BF19">
        <v>0</v>
      </c>
      <c r="BG19">
        <v>0</v>
      </c>
      <c r="BH19" s="27">
        <f t="shared" si="68"/>
        <v>5.8422700420745391E-2</v>
      </c>
      <c r="BJ19" s="73"/>
      <c r="BN19" s="49">
        <f t="shared" si="13"/>
        <v>38189.200000000004</v>
      </c>
      <c r="BO19">
        <v>80641</v>
      </c>
      <c r="BP19">
        <v>14832</v>
      </c>
      <c r="BQ19">
        <v>12154</v>
      </c>
      <c r="BR19">
        <v>0</v>
      </c>
      <c r="BS19">
        <v>0</v>
      </c>
      <c r="BT19" s="27">
        <f t="shared" si="69"/>
        <v>6.5401256925817747E-2</v>
      </c>
      <c r="BV19" s="73"/>
      <c r="BZ19" s="49">
        <f t="shared" si="14"/>
        <v>20494.400000000001</v>
      </c>
      <c r="CA19">
        <v>36508</v>
      </c>
      <c r="CB19">
        <v>14728</v>
      </c>
      <c r="CC19">
        <v>11304</v>
      </c>
      <c r="CD19">
        <v>0</v>
      </c>
      <c r="CE19">
        <v>0</v>
      </c>
      <c r="CF19" s="27">
        <f>($BX$20-BZ19)/$BX$20</f>
        <v>4.0164855751217615E-2</v>
      </c>
      <c r="CH19" s="73"/>
      <c r="CL19" s="49">
        <f t="shared" si="71"/>
        <v>15771.2</v>
      </c>
      <c r="CM19">
        <v>23281</v>
      </c>
      <c r="CN19">
        <v>16147</v>
      </c>
      <c r="CO19">
        <v>9764</v>
      </c>
      <c r="CP19">
        <v>0</v>
      </c>
      <c r="CQ19">
        <v>0</v>
      </c>
      <c r="CR19" s="27">
        <f t="shared" si="72"/>
        <v>0.14939701853170237</v>
      </c>
      <c r="CT19" s="73"/>
      <c r="CW19" s="27">
        <v>0.10881976317969726</v>
      </c>
      <c r="CX19" s="27">
        <v>0</v>
      </c>
    </row>
    <row r="20" spans="1:207" s="4" customFormat="1" x14ac:dyDescent="0.3">
      <c r="A20" s="71" t="s">
        <v>49</v>
      </c>
      <c r="B20" s="41" t="s">
        <v>43</v>
      </c>
      <c r="C20" s="41">
        <v>22829</v>
      </c>
      <c r="D20" s="25">
        <f>AVERAGE(D15:D19)</f>
        <v>12505.84</v>
      </c>
      <c r="E20" s="7">
        <f>AVERAGE(E15:E19)</f>
        <v>20832.400000000001</v>
      </c>
      <c r="F20" s="7">
        <f>AVERAGE(F15:F19)</f>
        <v>10432.200000000001</v>
      </c>
      <c r="G20" s="4">
        <f t="shared" ref="G20:I20" si="73">AVERAGE(G15:G19)</f>
        <v>0</v>
      </c>
      <c r="H20" s="4">
        <f t="shared" si="73"/>
        <v>0</v>
      </c>
      <c r="I20" s="4">
        <f t="shared" si="73"/>
        <v>0</v>
      </c>
      <c r="J20" s="83">
        <v>0.11573274698144032</v>
      </c>
      <c r="K20" s="83">
        <v>4.1593993481457382E-3</v>
      </c>
      <c r="L20" s="27">
        <f>(B20-D20)/B20</f>
        <v>7.5982326254968938E-2</v>
      </c>
      <c r="M20" s="27">
        <f>_xlfn.STDEV.S(L15:L19)</f>
        <v>3.8238378253034697E-3</v>
      </c>
      <c r="N20" s="73">
        <f t="shared" ref="N20" si="74">(C20-E20)/C20</f>
        <v>8.7458933812256279E-2</v>
      </c>
      <c r="O20" s="27" t="e">
        <f>_xlfn.STDEV.S(N15:N19)</f>
        <v>#DIV/0!</v>
      </c>
      <c r="P20">
        <v>52552.4</v>
      </c>
      <c r="Q20" s="26">
        <v>81057</v>
      </c>
      <c r="R20" s="49">
        <f>AVERAGE(R15:R19)</f>
        <v>38264.559999999998</v>
      </c>
      <c r="S20">
        <f>AVERAGE(S15:S19)</f>
        <v>74978.600000000006</v>
      </c>
      <c r="T20">
        <f t="shared" ref="T20:W20" si="75">AVERAGE(T15:T19)</f>
        <v>20200.8</v>
      </c>
      <c r="U20">
        <f t="shared" si="75"/>
        <v>1106.8</v>
      </c>
      <c r="V20">
        <f t="shared" si="75"/>
        <v>0</v>
      </c>
      <c r="W20">
        <f t="shared" si="75"/>
        <v>964</v>
      </c>
      <c r="X20" s="83">
        <f t="shared" ref="X20" si="76">(P20-R20)/P20</f>
        <v>0.27187797322291662</v>
      </c>
      <c r="Y20" s="83">
        <f>_xlfn.STDEV.S(X15:X19)</f>
        <v>1.1167213260435255E-2</v>
      </c>
      <c r="Z20" s="73">
        <f t="shared" ref="Z20" si="77">(Q20-S20)/Q20</f>
        <v>7.4989205127256056E-2</v>
      </c>
      <c r="AA20" s="27" t="e">
        <f>_xlfn.STDEV.S(Z15:Z19)</f>
        <v>#DIV/0!</v>
      </c>
      <c r="AB20">
        <v>24502.799999999999</v>
      </c>
      <c r="AC20">
        <v>48120</v>
      </c>
      <c r="AD20" s="49">
        <f>AVERAGE(AD15:AD19)</f>
        <v>20036.560000000005</v>
      </c>
      <c r="AE20">
        <f>AVERAGE(AE15:AE19)</f>
        <v>37843</v>
      </c>
      <c r="AF20">
        <f t="shared" ref="AF20:AI20" si="78">AVERAGE(AF15:AF19)</f>
        <v>12248.4</v>
      </c>
      <c r="AG20">
        <f t="shared" si="78"/>
        <v>12105.2</v>
      </c>
      <c r="AH20">
        <f t="shared" si="78"/>
        <v>0</v>
      </c>
      <c r="AI20">
        <f t="shared" si="78"/>
        <v>0</v>
      </c>
      <c r="AJ20" s="83">
        <f t="shared" ref="AJ20" si="79">(AB20-AD20)/AB20</f>
        <v>0.18227467881221715</v>
      </c>
      <c r="AK20" s="83">
        <f>_xlfn.STDEV.S(AJ15:AJ19)</f>
        <v>3.3472649662564151E-3</v>
      </c>
      <c r="AL20" s="73">
        <f t="shared" ref="AL20" si="80">(AC20-AE20)/AC20</f>
        <v>0.21357024106400666</v>
      </c>
      <c r="AM20" s="27" t="e">
        <f>_xlfn.STDEV.S(AL15:AL19)</f>
        <v>#DIV/0!</v>
      </c>
      <c r="AN20">
        <v>28900.400000000001</v>
      </c>
      <c r="AO20">
        <v>48676</v>
      </c>
      <c r="AP20" s="49">
        <f>AVERAGE(AP15:AP19)</f>
        <v>26489.52</v>
      </c>
      <c r="AQ20">
        <f>AVERAGE(AQ15:AQ19)</f>
        <v>43663.6</v>
      </c>
      <c r="AR20">
        <f t="shared" ref="AR20:AU20" si="81">AVERAGE(AR15:AR19)</f>
        <v>22560.2</v>
      </c>
      <c r="AS20">
        <f t="shared" si="81"/>
        <v>19622.400000000001</v>
      </c>
      <c r="AT20">
        <f t="shared" si="81"/>
        <v>0</v>
      </c>
      <c r="AU20">
        <f t="shared" si="81"/>
        <v>0</v>
      </c>
      <c r="AV20" s="27">
        <f t="shared" ref="AV20" si="82">(AN20-AP20)/AN20</f>
        <v>8.3420298680987146E-2</v>
      </c>
      <c r="AW20" s="84">
        <f>_xlfn.STDEV.S(AV15:AV19)</f>
        <v>3.1656721228199582E-3</v>
      </c>
      <c r="AX20" s="73">
        <f t="shared" ref="AX20" si="83">(AO20-AQ20)/AO20</f>
        <v>0.10297477196154166</v>
      </c>
      <c r="AY20" s="27" t="e">
        <f>_xlfn.STDEV.S(AX15:AX19)</f>
        <v>#DIV/0!</v>
      </c>
      <c r="AZ20">
        <v>28235.599999999999</v>
      </c>
      <c r="BA20">
        <v>55474</v>
      </c>
      <c r="BB20" s="49">
        <f>AVERAGE(BB15:BB19)</f>
        <v>26644.720000000001</v>
      </c>
      <c r="BC20">
        <f>AVERAGE(BC15:BC19)</f>
        <v>51913.2</v>
      </c>
      <c r="BD20">
        <f t="shared" ref="BD20:BG20" si="84">AVERAGE(BD15:BD19)</f>
        <v>14698.6</v>
      </c>
      <c r="BE20">
        <f t="shared" si="84"/>
        <v>0</v>
      </c>
      <c r="BF20">
        <f t="shared" si="84"/>
        <v>0</v>
      </c>
      <c r="BG20">
        <f t="shared" si="84"/>
        <v>0</v>
      </c>
      <c r="BH20" s="83">
        <f t="shared" ref="BH20" si="85">(AZ20-BB20)/AZ20</f>
        <v>5.634305628355684E-2</v>
      </c>
      <c r="BI20" s="83">
        <f>_xlfn.STDEV.S(BH15:BH19)</f>
        <v>2.8476700138038496E-3</v>
      </c>
      <c r="BJ20" s="73">
        <f t="shared" ref="BJ20" si="86">(BA20-BC20)/BA20</f>
        <v>6.4188628907235881E-2</v>
      </c>
      <c r="BK20" s="27" t="e">
        <f>_xlfn.STDEV.S(BJ15:BJ19)</f>
        <v>#DIV/0!</v>
      </c>
      <c r="BL20">
        <v>40861.599999999999</v>
      </c>
      <c r="BM20">
        <v>86423</v>
      </c>
      <c r="BN20" s="49">
        <f>AVERAGE(BN15:BN19)</f>
        <v>38218.080000000002</v>
      </c>
      <c r="BO20">
        <f>AVERAGE(BO15:BO19)</f>
        <v>80707.8</v>
      </c>
      <c r="BP20">
        <f t="shared" ref="BP20:BS20" si="87">AVERAGE(BP15:BP19)</f>
        <v>14837.4</v>
      </c>
      <c r="BQ20">
        <f t="shared" si="87"/>
        <v>12351.2</v>
      </c>
      <c r="BR20">
        <f t="shared" si="87"/>
        <v>0</v>
      </c>
      <c r="BS20">
        <f t="shared" si="87"/>
        <v>0</v>
      </c>
      <c r="BT20" s="27">
        <f t="shared" ref="BT20" si="88">(BL20-BN20)/BL20</f>
        <v>6.4694480881805821E-2</v>
      </c>
      <c r="BU20" s="27">
        <f>_xlfn.STDEV.S(BT15:BT19)</f>
        <v>8.2998415830600576E-4</v>
      </c>
      <c r="BV20" s="73">
        <f t="shared" ref="BV20" si="89">(BM20-BO20)/BM20</f>
        <v>6.6130543952420046E-2</v>
      </c>
      <c r="BW20" s="27" t="e">
        <f>_xlfn.STDEV.S(BV15:BV19)</f>
        <v>#DIV/0!</v>
      </c>
      <c r="BX20">
        <v>21352</v>
      </c>
      <c r="BY20">
        <v>38534</v>
      </c>
      <c r="BZ20" s="49">
        <f>AVERAGE(BZ15:BZ19)</f>
        <v>20568.960000000003</v>
      </c>
      <c r="CA20">
        <f>AVERAGE(CA15:CA19)</f>
        <v>36685.800000000003</v>
      </c>
      <c r="CB20">
        <f t="shared" ref="CB20:CD20" si="90">AVERAGE(CB15:CB19)</f>
        <v>14736.6</v>
      </c>
      <c r="CC20">
        <f t="shared" si="90"/>
        <v>11302.2</v>
      </c>
      <c r="CD20">
        <f t="shared" si="90"/>
        <v>0</v>
      </c>
      <c r="CE20">
        <f t="shared" si="56"/>
        <v>0</v>
      </c>
      <c r="CF20" s="83">
        <f t="shared" ref="CF20" si="91">(BX20-BZ20)/BX20</f>
        <v>3.6672911202697507E-2</v>
      </c>
      <c r="CG20" s="85">
        <f>_xlfn.STDEV.S(CF15:CF19)</f>
        <v>1.9692399569286238E-3</v>
      </c>
      <c r="CH20" s="73">
        <f t="shared" ref="CH20" si="92">(BY20-CA20)/BY20</f>
        <v>4.7962838013183087E-2</v>
      </c>
      <c r="CI20" s="27" t="e">
        <f>_xlfn.STDEV.S(CH15:CH19)</f>
        <v>#DIV/0!</v>
      </c>
      <c r="CJ20">
        <v>18541.2</v>
      </c>
      <c r="CK20">
        <v>28067</v>
      </c>
      <c r="CL20" s="49">
        <f>AVERAGE(CL15:CL19)</f>
        <v>15674.8</v>
      </c>
      <c r="CM20">
        <f t="shared" ref="CM20:CP20" si="93">AVERAGE(CM15:CM19)</f>
        <v>23051</v>
      </c>
      <c r="CN20">
        <f t="shared" si="93"/>
        <v>16136</v>
      </c>
      <c r="CO20">
        <f t="shared" si="93"/>
        <v>10065.200000000001</v>
      </c>
      <c r="CP20">
        <f t="shared" si="93"/>
        <v>0</v>
      </c>
      <c r="CQ20">
        <f t="shared" si="58"/>
        <v>0</v>
      </c>
      <c r="CR20" s="27">
        <f t="shared" ref="CR20" si="94">(CJ20-CL20)/CJ20</f>
        <v>0.15459625051237252</v>
      </c>
      <c r="CS20" s="27">
        <f>_xlfn.STDEV.S(CR15:CR19)</f>
        <v>6.1243124813123257E-3</v>
      </c>
      <c r="CT20" s="73">
        <f t="shared" ref="CT20" si="95">(CK20-CM20)/CK20</f>
        <v>0.17871521715894109</v>
      </c>
      <c r="CU20" s="27" t="e">
        <f>_xlfn.STDEV.S(CT15:CT19)</f>
        <v>#DIV/0!</v>
      </c>
      <c r="CV20"/>
      <c r="CW20" s="27">
        <v>0.11573274698144032</v>
      </c>
      <c r="CX20" s="27">
        <v>4.1593993481457382E-3</v>
      </c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GV20" s="4" t="e">
        <f t="shared" ref="GV20:GY20" si="96">AVERAGE(GV15:GV19)</f>
        <v>#DIV/0!</v>
      </c>
      <c r="GW20" s="4" t="e">
        <f t="shared" si="96"/>
        <v>#DIV/0!</v>
      </c>
      <c r="GX20" s="4" t="e">
        <f t="shared" si="96"/>
        <v>#DIV/0!</v>
      </c>
      <c r="GY20" s="4" t="e">
        <f t="shared" si="96"/>
        <v>#DIV/0!</v>
      </c>
    </row>
    <row r="21" spans="1:207" x14ac:dyDescent="0.3">
      <c r="J21" s="27"/>
      <c r="K21" s="27"/>
      <c r="N21" s="73"/>
      <c r="R21" s="42"/>
      <c r="S21" s="42"/>
      <c r="T21" s="49"/>
      <c r="AF21" s="1"/>
      <c r="AG21" s="1"/>
      <c r="AJ21" s="58"/>
      <c r="AK21" s="58"/>
      <c r="CW21" s="27"/>
      <c r="CX21" s="27"/>
    </row>
    <row r="22" spans="1:207" x14ac:dyDescent="0.3">
      <c r="J22" s="27"/>
      <c r="K22" s="27"/>
      <c r="N22" s="73"/>
      <c r="R22" s="42"/>
      <c r="S22" s="42"/>
      <c r="T22" s="49"/>
      <c r="AF22" s="1"/>
      <c r="AG22" s="1"/>
      <c r="AO22" s="82"/>
      <c r="CW22" s="27"/>
      <c r="CX22" s="27"/>
    </row>
    <row r="23" spans="1:207" x14ac:dyDescent="0.3">
      <c r="J23" s="27"/>
      <c r="K23" s="27"/>
      <c r="N23" s="73"/>
      <c r="R23" s="42"/>
      <c r="S23" s="42"/>
      <c r="T23" s="49"/>
      <c r="CW23" s="27"/>
      <c r="CX23" s="27"/>
    </row>
    <row r="24" spans="1:207" x14ac:dyDescent="0.3">
      <c r="J24" s="27"/>
      <c r="K24" s="27"/>
      <c r="R24" s="42"/>
      <c r="S24" s="42"/>
      <c r="T24" s="49"/>
      <c r="CW24" s="27"/>
      <c r="CX24" s="27"/>
    </row>
    <row r="25" spans="1:207" x14ac:dyDescent="0.3">
      <c r="J25" s="27"/>
      <c r="K25" s="27"/>
      <c r="R25" s="42"/>
      <c r="S25" s="42"/>
      <c r="T25" s="49"/>
      <c r="CW25" s="27"/>
      <c r="CX25" s="27"/>
    </row>
    <row r="26" spans="1:207" x14ac:dyDescent="0.3">
      <c r="J26" s="27"/>
      <c r="K26" s="27"/>
      <c r="R26" s="26"/>
      <c r="S26" s="26"/>
      <c r="T26" s="49"/>
      <c r="CW26" s="27"/>
      <c r="CX26" s="27"/>
    </row>
    <row r="27" spans="1:207" x14ac:dyDescent="0.3">
      <c r="J27" s="27"/>
      <c r="K27" s="27"/>
      <c r="R27" s="26"/>
      <c r="S27" s="26"/>
      <c r="T27" s="49"/>
      <c r="CW27" s="27"/>
      <c r="CX27" s="27"/>
    </row>
    <row r="28" spans="1:207" x14ac:dyDescent="0.3">
      <c r="J28" s="27"/>
      <c r="K28" s="27"/>
      <c r="R28" s="42"/>
      <c r="S28" s="42"/>
      <c r="T28" s="49"/>
      <c r="CW28" s="27"/>
      <c r="CX28" s="27"/>
    </row>
    <row r="29" spans="1:207" x14ac:dyDescent="0.3">
      <c r="J29" s="27"/>
      <c r="K29" s="27"/>
      <c r="R29" s="42"/>
      <c r="S29" s="42"/>
      <c r="T29" s="49"/>
      <c r="CW29" s="27"/>
      <c r="CX29" s="27"/>
    </row>
    <row r="30" spans="1:207" x14ac:dyDescent="0.3">
      <c r="J30" s="27"/>
      <c r="K30" s="27"/>
      <c r="R30" s="42"/>
      <c r="S30" s="42"/>
      <c r="T30" s="49"/>
      <c r="CW30" s="27"/>
      <c r="CX30" s="27"/>
    </row>
    <row r="31" spans="1:207" x14ac:dyDescent="0.3">
      <c r="J31" s="27"/>
      <c r="K31" s="27"/>
      <c r="R31" s="42"/>
      <c r="S31" s="42"/>
      <c r="T31" s="49"/>
      <c r="CW31" s="27"/>
      <c r="CX31" s="27"/>
    </row>
    <row r="32" spans="1:207" x14ac:dyDescent="0.3">
      <c r="A32" s="2"/>
      <c r="B32" s="42"/>
      <c r="C32" s="42"/>
      <c r="D32" s="2"/>
      <c r="J32" s="27"/>
      <c r="K32" s="27"/>
      <c r="R32" s="26"/>
      <c r="S32" s="26"/>
      <c r="T32" s="49"/>
      <c r="CW32" s="27"/>
      <c r="CX32" s="27"/>
    </row>
    <row r="33" spans="1:20" x14ac:dyDescent="0.3">
      <c r="A33" s="2"/>
      <c r="B33" s="42"/>
      <c r="C33" s="42"/>
      <c r="D33" s="2"/>
      <c r="R33" s="26"/>
      <c r="S33" s="26"/>
      <c r="T33" s="49"/>
    </row>
    <row r="34" spans="1:20" x14ac:dyDescent="0.3">
      <c r="R34" s="42"/>
      <c r="S34" s="42"/>
      <c r="T34" s="49"/>
    </row>
    <row r="35" spans="1:20" x14ac:dyDescent="0.3">
      <c r="R35" s="42"/>
      <c r="S35" s="42"/>
      <c r="T35" s="49"/>
    </row>
    <row r="36" spans="1:20" x14ac:dyDescent="0.3">
      <c r="R36" s="42"/>
      <c r="S36" s="42"/>
      <c r="T36" s="49"/>
    </row>
    <row r="37" spans="1:20" x14ac:dyDescent="0.3">
      <c r="R37" s="42"/>
      <c r="S37" s="42"/>
      <c r="T37" s="49"/>
    </row>
    <row r="38" spans="1:20" x14ac:dyDescent="0.3">
      <c r="R38" s="26"/>
      <c r="S38" s="26"/>
      <c r="T38" s="49"/>
    </row>
  </sheetData>
  <mergeCells count="11">
    <mergeCell ref="BX1:CI1"/>
    <mergeCell ref="CJ1:CU1"/>
    <mergeCell ref="A3:A7"/>
    <mergeCell ref="A9:A13"/>
    <mergeCell ref="A15:A19"/>
    <mergeCell ref="P1:AA1"/>
    <mergeCell ref="AB1:AM1"/>
    <mergeCell ref="AN1:AY1"/>
    <mergeCell ref="AZ1:BK1"/>
    <mergeCell ref="BL1:BW1"/>
    <mergeCell ref="L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CC496-B42E-42AA-A4B2-3EB621917B6A}">
  <dimension ref="A1:GY50"/>
  <sheetViews>
    <sheetView zoomScale="70" zoomScaleNormal="70" workbookViewId="0">
      <pane xSplit="1" topLeftCell="BH1" activePane="topRight" state="frozen"/>
      <selection pane="topRight" activeCell="BU54" sqref="BU54"/>
    </sheetView>
  </sheetViews>
  <sheetFormatPr defaultRowHeight="14.4" x14ac:dyDescent="0.3"/>
  <cols>
    <col min="1" max="1" width="15.6640625" customWidth="1"/>
    <col min="2" max="2" width="17.5546875" style="58" hidden="1" customWidth="1"/>
    <col min="3" max="3" width="12.77734375" hidden="1" customWidth="1"/>
    <col min="4" max="4" width="21.88671875" hidden="1" customWidth="1"/>
    <col min="5" max="5" width="12.33203125" hidden="1" customWidth="1"/>
    <col min="6" max="6" width="8.77734375" hidden="1" customWidth="1"/>
    <col min="7" max="7" width="15.5546875" hidden="1" customWidth="1"/>
    <col min="8" max="8" width="17.5546875" hidden="1" customWidth="1"/>
    <col min="9" max="9" width="17" hidden="1" customWidth="1"/>
    <col min="10" max="11" width="17.33203125" customWidth="1"/>
    <col min="12" max="13" width="17" customWidth="1"/>
    <col min="14" max="15" width="17" hidden="1" customWidth="1"/>
    <col min="16" max="16" width="17" style="65" hidden="1" customWidth="1"/>
    <col min="17" max="17" width="17" hidden="1" customWidth="1"/>
    <col min="18" max="18" width="13.5546875" hidden="1" customWidth="1"/>
    <col min="19" max="19" width="12.33203125" hidden="1" customWidth="1"/>
    <col min="20" max="20" width="8.77734375" hidden="1" customWidth="1"/>
    <col min="21" max="21" width="15.5546875" hidden="1" customWidth="1"/>
    <col min="22" max="22" width="17.5546875" hidden="1" customWidth="1"/>
    <col min="23" max="23" width="17" hidden="1" customWidth="1"/>
    <col min="24" max="25" width="17" customWidth="1"/>
    <col min="26" max="27" width="17" hidden="1" customWidth="1"/>
    <col min="28" max="28" width="22.21875" style="63" hidden="1" customWidth="1"/>
    <col min="29" max="30" width="17" hidden="1" customWidth="1"/>
    <col min="31" max="31" width="12.33203125" hidden="1" customWidth="1"/>
    <col min="32" max="32" width="8.77734375" hidden="1" customWidth="1"/>
    <col min="33" max="33" width="15.5546875" hidden="1" customWidth="1"/>
    <col min="34" max="34" width="17.5546875" hidden="1" customWidth="1"/>
    <col min="35" max="35" width="17" hidden="1" customWidth="1"/>
    <col min="36" max="37" width="17" customWidth="1"/>
    <col min="38" max="39" width="17" hidden="1" customWidth="1"/>
    <col min="40" max="40" width="18.21875" style="65" hidden="1" customWidth="1"/>
    <col min="41" max="42" width="17" hidden="1" customWidth="1"/>
    <col min="43" max="43" width="12.33203125" hidden="1" customWidth="1"/>
    <col min="44" max="44" width="8.77734375" hidden="1" customWidth="1"/>
    <col min="45" max="45" width="15.5546875" hidden="1" customWidth="1"/>
    <col min="46" max="46" width="17.5546875" hidden="1" customWidth="1"/>
    <col min="47" max="47" width="17" hidden="1" customWidth="1"/>
    <col min="48" max="49" width="17" customWidth="1"/>
    <col min="50" max="51" width="17" hidden="1" customWidth="1"/>
    <col min="52" max="52" width="17" style="65" hidden="1" customWidth="1"/>
    <col min="53" max="54" width="17" hidden="1" customWidth="1"/>
    <col min="55" max="55" width="12.33203125" hidden="1" customWidth="1"/>
    <col min="56" max="56" width="8.77734375" hidden="1" customWidth="1"/>
    <col min="57" max="57" width="15.5546875" hidden="1" customWidth="1"/>
    <col min="58" max="58" width="17.5546875" hidden="1" customWidth="1"/>
    <col min="59" max="59" width="17" hidden="1" customWidth="1"/>
    <col min="60" max="61" width="17" customWidth="1"/>
    <col min="62" max="63" width="17" hidden="1" customWidth="1"/>
    <col min="64" max="64" width="17" style="65" hidden="1" customWidth="1"/>
    <col min="65" max="66" width="17" hidden="1" customWidth="1"/>
    <col min="67" max="67" width="12.33203125" hidden="1" customWidth="1"/>
    <col min="68" max="68" width="8.77734375" hidden="1" customWidth="1"/>
    <col min="69" max="69" width="15.5546875" hidden="1" customWidth="1"/>
    <col min="70" max="70" width="17.5546875" hidden="1" customWidth="1"/>
    <col min="71" max="71" width="17" hidden="1" customWidth="1"/>
    <col min="72" max="73" width="17" customWidth="1"/>
    <col min="74" max="75" width="17" hidden="1" customWidth="1"/>
    <col min="76" max="76" width="20" style="65" hidden="1" customWidth="1"/>
    <col min="77" max="78" width="17" hidden="1" customWidth="1"/>
    <col min="79" max="79" width="12.33203125" hidden="1" customWidth="1"/>
    <col min="80" max="80" width="8.77734375" hidden="1" customWidth="1"/>
    <col min="81" max="81" width="15.5546875" hidden="1" customWidth="1"/>
    <col min="82" max="82" width="17.5546875" hidden="1" customWidth="1"/>
    <col min="83" max="83" width="17" hidden="1" customWidth="1"/>
    <col min="84" max="85" width="17" customWidth="1"/>
    <col min="86" max="87" width="17" hidden="1" customWidth="1"/>
    <col min="88" max="88" width="17" style="63" hidden="1" customWidth="1"/>
    <col min="89" max="90" width="17" hidden="1" customWidth="1"/>
    <col min="91" max="91" width="12.33203125" hidden="1" customWidth="1"/>
    <col min="92" max="92" width="8.77734375" hidden="1" customWidth="1"/>
    <col min="93" max="93" width="15.5546875" hidden="1" customWidth="1"/>
    <col min="94" max="94" width="17.5546875" hidden="1" customWidth="1"/>
    <col min="95" max="95" width="17" hidden="1" customWidth="1"/>
    <col min="96" max="97" width="17" customWidth="1"/>
    <col min="98" max="99" width="17" hidden="1" customWidth="1"/>
    <col min="100" max="100" width="13.77734375" customWidth="1"/>
    <col min="101" max="102" width="17.33203125" customWidth="1"/>
    <col min="103" max="103" width="14.109375" customWidth="1"/>
    <col min="104" max="104" width="15.6640625" customWidth="1"/>
    <col min="105" max="105" width="14.77734375" customWidth="1"/>
    <col min="106" max="108" width="14.44140625" customWidth="1"/>
    <col min="109" max="207" width="7.109375" bestFit="1" customWidth="1"/>
  </cols>
  <sheetData>
    <row r="1" spans="1:207" ht="15" customHeight="1" thickBot="1" x14ac:dyDescent="0.35">
      <c r="A1" s="13" t="s">
        <v>0</v>
      </c>
      <c r="B1" s="93" t="s">
        <v>24</v>
      </c>
      <c r="C1" s="94"/>
      <c r="D1" s="94"/>
      <c r="E1" s="94"/>
      <c r="F1" s="94"/>
      <c r="G1" s="94"/>
      <c r="H1" s="94"/>
      <c r="I1" s="94"/>
      <c r="J1" s="96"/>
      <c r="K1" s="96"/>
      <c r="L1" s="153" t="s">
        <v>24</v>
      </c>
      <c r="M1" s="153"/>
      <c r="N1" s="94"/>
      <c r="O1" s="95"/>
      <c r="P1" s="139" t="s">
        <v>4</v>
      </c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7"/>
      <c r="AB1" s="135" t="s">
        <v>5</v>
      </c>
      <c r="AC1" s="135"/>
      <c r="AD1" s="135"/>
      <c r="AE1" s="135"/>
      <c r="AF1" s="135"/>
      <c r="AG1" s="135"/>
      <c r="AH1" s="135"/>
      <c r="AI1" s="135"/>
      <c r="AJ1" s="135"/>
      <c r="AK1" s="135"/>
      <c r="AL1" s="135"/>
      <c r="AM1" s="135"/>
      <c r="AN1" s="136" t="s">
        <v>1</v>
      </c>
      <c r="AO1" s="136"/>
      <c r="AP1" s="136"/>
      <c r="AQ1" s="136"/>
      <c r="AR1" s="136"/>
      <c r="AS1" s="136"/>
      <c r="AT1" s="136"/>
      <c r="AU1" s="136"/>
      <c r="AV1" s="136"/>
      <c r="AW1" s="136"/>
      <c r="AX1" s="136"/>
      <c r="AY1" s="136"/>
      <c r="AZ1" s="135" t="s">
        <v>2</v>
      </c>
      <c r="BA1" s="135"/>
      <c r="BB1" s="135"/>
      <c r="BC1" s="135"/>
      <c r="BD1" s="135"/>
      <c r="BE1" s="135"/>
      <c r="BF1" s="135"/>
      <c r="BG1" s="135"/>
      <c r="BH1" s="135"/>
      <c r="BI1" s="135"/>
      <c r="BJ1" s="135"/>
      <c r="BK1" s="135"/>
      <c r="BL1" s="136" t="s">
        <v>16</v>
      </c>
      <c r="BM1" s="136"/>
      <c r="BN1" s="136"/>
      <c r="BO1" s="136"/>
      <c r="BP1" s="136"/>
      <c r="BQ1" s="136"/>
      <c r="BR1" s="136"/>
      <c r="BS1" s="136"/>
      <c r="BT1" s="136"/>
      <c r="BU1" s="136"/>
      <c r="BV1" s="136"/>
      <c r="BW1" s="137"/>
      <c r="BX1" s="138" t="s">
        <v>3</v>
      </c>
      <c r="BY1" s="135"/>
      <c r="BZ1" s="135"/>
      <c r="CA1" s="135"/>
      <c r="CB1" s="135"/>
      <c r="CC1" s="135"/>
      <c r="CD1" s="135"/>
      <c r="CE1" s="135"/>
      <c r="CF1" s="135"/>
      <c r="CG1" s="135"/>
      <c r="CH1" s="135"/>
      <c r="CI1" s="135"/>
      <c r="CJ1" s="136" t="s">
        <v>17</v>
      </c>
      <c r="CK1" s="136"/>
      <c r="CL1" s="136"/>
      <c r="CM1" s="136"/>
      <c r="CN1" s="136"/>
      <c r="CO1" s="136"/>
      <c r="CP1" s="136"/>
      <c r="CQ1" s="136"/>
      <c r="CR1" s="136"/>
      <c r="CS1" s="136"/>
      <c r="CT1" s="136"/>
      <c r="CU1" s="136"/>
      <c r="CV1" s="154"/>
      <c r="CW1" s="72" t="s">
        <v>53</v>
      </c>
      <c r="CX1" s="72" t="s">
        <v>54</v>
      </c>
      <c r="CY1" s="154"/>
      <c r="CZ1" s="152"/>
      <c r="DA1" s="152"/>
      <c r="DB1" s="152"/>
      <c r="DC1" s="152"/>
      <c r="DD1" s="152"/>
    </row>
    <row r="2" spans="1:207" ht="15" thickBot="1" x14ac:dyDescent="0.35">
      <c r="A2" s="134" t="s">
        <v>63</v>
      </c>
      <c r="B2" s="59" t="s">
        <v>23</v>
      </c>
      <c r="C2" s="17"/>
      <c r="D2" s="10" t="s">
        <v>20</v>
      </c>
      <c r="E2" s="10" t="s">
        <v>11</v>
      </c>
      <c r="F2" s="11" t="s">
        <v>12</v>
      </c>
      <c r="G2" s="11" t="s">
        <v>13</v>
      </c>
      <c r="H2" s="11" t="s">
        <v>14</v>
      </c>
      <c r="I2" s="12" t="s">
        <v>15</v>
      </c>
      <c r="J2" s="90" t="s">
        <v>56</v>
      </c>
      <c r="K2" s="90" t="s">
        <v>57</v>
      </c>
      <c r="L2" s="11" t="s">
        <v>21</v>
      </c>
      <c r="M2" s="11" t="s">
        <v>19</v>
      </c>
      <c r="N2" s="11" t="s">
        <v>22</v>
      </c>
      <c r="O2" s="12" t="s">
        <v>18</v>
      </c>
      <c r="P2" s="66" t="s">
        <v>23</v>
      </c>
      <c r="Q2" s="17"/>
      <c r="R2" s="10" t="s">
        <v>20</v>
      </c>
      <c r="S2" s="10" t="s">
        <v>11</v>
      </c>
      <c r="T2" s="11" t="s">
        <v>12</v>
      </c>
      <c r="U2" s="11" t="s">
        <v>13</v>
      </c>
      <c r="V2" s="11" t="s">
        <v>14</v>
      </c>
      <c r="W2" s="12" t="s">
        <v>15</v>
      </c>
      <c r="X2" s="11" t="s">
        <v>21</v>
      </c>
      <c r="Y2" s="11" t="s">
        <v>19</v>
      </c>
      <c r="Z2" s="11" t="s">
        <v>22</v>
      </c>
      <c r="AA2" s="12" t="s">
        <v>18</v>
      </c>
      <c r="AB2" s="64" t="s">
        <v>23</v>
      </c>
      <c r="AC2" s="17"/>
      <c r="AD2" s="10" t="s">
        <v>20</v>
      </c>
      <c r="AE2" s="10" t="s">
        <v>11</v>
      </c>
      <c r="AF2" s="11" t="s">
        <v>12</v>
      </c>
      <c r="AG2" s="11" t="s">
        <v>13</v>
      </c>
      <c r="AH2" s="11" t="s">
        <v>14</v>
      </c>
      <c r="AI2" s="12" t="s">
        <v>15</v>
      </c>
      <c r="AJ2" s="11" t="s">
        <v>21</v>
      </c>
      <c r="AK2" s="11" t="s">
        <v>19</v>
      </c>
      <c r="AL2" s="11" t="s">
        <v>22</v>
      </c>
      <c r="AM2" s="12" t="s">
        <v>18</v>
      </c>
      <c r="AN2" s="66" t="s">
        <v>23</v>
      </c>
      <c r="AO2" s="17"/>
      <c r="AP2" s="10" t="s">
        <v>20</v>
      </c>
      <c r="AQ2" s="10" t="s">
        <v>11</v>
      </c>
      <c r="AR2" s="11" t="s">
        <v>12</v>
      </c>
      <c r="AS2" s="11" t="s">
        <v>13</v>
      </c>
      <c r="AT2" s="11" t="s">
        <v>14</v>
      </c>
      <c r="AU2" s="12" t="s">
        <v>15</v>
      </c>
      <c r="AV2" s="11" t="s">
        <v>21</v>
      </c>
      <c r="AW2" s="11" t="s">
        <v>19</v>
      </c>
      <c r="AX2" s="11" t="s">
        <v>22</v>
      </c>
      <c r="AY2" s="12" t="s">
        <v>18</v>
      </c>
      <c r="AZ2" s="66" t="s">
        <v>23</v>
      </c>
      <c r="BA2" s="17"/>
      <c r="BB2" s="10" t="s">
        <v>20</v>
      </c>
      <c r="BC2" s="10" t="s">
        <v>11</v>
      </c>
      <c r="BD2" s="11" t="s">
        <v>12</v>
      </c>
      <c r="BE2" s="11" t="s">
        <v>13</v>
      </c>
      <c r="BF2" s="11" t="s">
        <v>14</v>
      </c>
      <c r="BG2" s="12" t="s">
        <v>15</v>
      </c>
      <c r="BH2" s="11" t="s">
        <v>21</v>
      </c>
      <c r="BI2" s="11" t="s">
        <v>19</v>
      </c>
      <c r="BJ2" s="11" t="s">
        <v>22</v>
      </c>
      <c r="BK2" s="12" t="s">
        <v>18</v>
      </c>
      <c r="BL2" s="66" t="s">
        <v>23</v>
      </c>
      <c r="BM2" s="17"/>
      <c r="BN2" s="10" t="s">
        <v>20</v>
      </c>
      <c r="BO2" s="10" t="s">
        <v>11</v>
      </c>
      <c r="BP2" s="11" t="s">
        <v>12</v>
      </c>
      <c r="BQ2" s="11" t="s">
        <v>13</v>
      </c>
      <c r="BR2" s="11" t="s">
        <v>14</v>
      </c>
      <c r="BS2" s="12" t="s">
        <v>15</v>
      </c>
      <c r="BT2" s="11" t="s">
        <v>21</v>
      </c>
      <c r="BU2" s="11" t="s">
        <v>19</v>
      </c>
      <c r="BV2" s="11" t="s">
        <v>22</v>
      </c>
      <c r="BW2" s="12" t="s">
        <v>18</v>
      </c>
      <c r="BX2" s="66" t="s">
        <v>23</v>
      </c>
      <c r="BY2" s="17"/>
      <c r="BZ2" s="10" t="s">
        <v>20</v>
      </c>
      <c r="CA2" s="10" t="s">
        <v>11</v>
      </c>
      <c r="CB2" s="11" t="s">
        <v>12</v>
      </c>
      <c r="CC2" s="11" t="s">
        <v>13</v>
      </c>
      <c r="CD2" s="11" t="s">
        <v>14</v>
      </c>
      <c r="CE2" s="12" t="s">
        <v>15</v>
      </c>
      <c r="CF2" s="11" t="s">
        <v>21</v>
      </c>
      <c r="CG2" s="11" t="s">
        <v>19</v>
      </c>
      <c r="CH2" s="11" t="s">
        <v>22</v>
      </c>
      <c r="CI2" s="12" t="s">
        <v>18</v>
      </c>
      <c r="CJ2" s="64" t="s">
        <v>23</v>
      </c>
      <c r="CK2" s="17"/>
      <c r="CL2" s="10" t="s">
        <v>20</v>
      </c>
      <c r="CM2" s="10" t="s">
        <v>11</v>
      </c>
      <c r="CN2" s="11" t="s">
        <v>12</v>
      </c>
      <c r="CO2" s="11" t="s">
        <v>13</v>
      </c>
      <c r="CP2" s="11" t="s">
        <v>14</v>
      </c>
      <c r="CQ2" s="12" t="s">
        <v>15</v>
      </c>
      <c r="CR2" s="11" t="s">
        <v>21</v>
      </c>
      <c r="CS2" s="11"/>
      <c r="CT2" s="11" t="s">
        <v>22</v>
      </c>
      <c r="CU2" s="11" t="s">
        <v>18</v>
      </c>
      <c r="CV2" s="154"/>
      <c r="CY2" s="154"/>
      <c r="CZ2" s="152"/>
      <c r="DA2" s="152"/>
      <c r="DB2" s="152"/>
      <c r="DC2" s="152"/>
      <c r="DD2" s="152"/>
    </row>
    <row r="3" spans="1:207" ht="15" hidden="1" customHeight="1" thickBot="1" x14ac:dyDescent="0.35">
      <c r="A3" s="150" t="s">
        <v>10</v>
      </c>
      <c r="B3" s="60"/>
      <c r="C3" s="23"/>
      <c r="D3" s="24">
        <f>0.4 * E3 + 0.4 * F3 + 0.2 * I3</f>
        <v>12755.600000000002</v>
      </c>
      <c r="E3">
        <v>21477</v>
      </c>
      <c r="F3">
        <v>10412</v>
      </c>
      <c r="G3">
        <v>0</v>
      </c>
      <c r="H3">
        <v>0</v>
      </c>
      <c r="I3">
        <v>0</v>
      </c>
      <c r="L3" s="45">
        <f>($B$8-D3)/$B$8</f>
        <v>5.7514408157233472E-2</v>
      </c>
      <c r="M3" s="21"/>
      <c r="N3" s="48"/>
      <c r="O3" s="22"/>
      <c r="R3" s="24">
        <f>0.4 * S3 + 0.4 * T3 + 0.2 * W3</f>
        <v>38265.4</v>
      </c>
      <c r="S3">
        <v>74910</v>
      </c>
      <c r="T3">
        <v>20150</v>
      </c>
      <c r="U3">
        <v>179</v>
      </c>
      <c r="V3">
        <v>0</v>
      </c>
      <c r="W3">
        <v>1207</v>
      </c>
      <c r="X3" s="45">
        <f>($P$8-R3)/$P$8</f>
        <v>0.2718342771891365</v>
      </c>
      <c r="Y3" s="21"/>
      <c r="Z3" s="48"/>
      <c r="AA3" s="22"/>
      <c r="AB3" s="67"/>
      <c r="AD3" s="24">
        <f>0.4 * AE3 + 0.4 * AF3 + 0.2 * AI3</f>
        <v>20161.599999999999</v>
      </c>
      <c r="AE3">
        <v>38150</v>
      </c>
      <c r="AF3">
        <v>12254</v>
      </c>
      <c r="AG3">
        <v>11141</v>
      </c>
      <c r="AH3">
        <v>0</v>
      </c>
      <c r="AI3">
        <v>0</v>
      </c>
      <c r="AJ3" s="45">
        <f>($AB$8-AD3)/$AB$8</f>
        <v>0.17710442108012803</v>
      </c>
      <c r="AK3" s="21"/>
      <c r="AL3" s="48"/>
      <c r="AM3" s="22"/>
      <c r="AN3" s="68"/>
      <c r="AP3" s="24">
        <f>0.4 * AQ3 + 0.4 * AR3 + 0.2 * AU3</f>
        <v>26286</v>
      </c>
      <c r="AQ3">
        <v>43232</v>
      </c>
      <c r="AR3">
        <v>22483</v>
      </c>
      <c r="AS3">
        <v>20154</v>
      </c>
      <c r="AT3">
        <v>0</v>
      </c>
      <c r="AU3">
        <v>0</v>
      </c>
      <c r="AV3" s="45">
        <f>($AN$8-AP3)/$AN$8</f>
        <v>9.0399468482684209E-2</v>
      </c>
      <c r="AW3" s="21"/>
      <c r="AX3" s="48"/>
      <c r="AY3" s="22"/>
      <c r="AZ3" s="68"/>
      <c r="BB3" s="24">
        <f>0.4 * BC3 + 0.4 * BD3 + 0.2 * BG3</f>
        <v>26586</v>
      </c>
      <c r="BC3">
        <v>51740</v>
      </c>
      <c r="BD3">
        <v>14725</v>
      </c>
      <c r="BE3">
        <v>0</v>
      </c>
      <c r="BF3">
        <v>0</v>
      </c>
      <c r="BG3">
        <v>0</v>
      </c>
      <c r="BH3" s="45">
        <f>($AZ$8-BB3)/$AZ$8</f>
        <v>5.8356001360081559E-2</v>
      </c>
      <c r="BI3" s="21"/>
      <c r="BJ3" s="48"/>
      <c r="BK3" s="22"/>
      <c r="BL3" s="68"/>
      <c r="BN3" s="24">
        <f>0.4 * BO3 + 0.4 * BP3 + 0.2 * BS3</f>
        <v>38212.800000000003</v>
      </c>
      <c r="BO3">
        <v>80694</v>
      </c>
      <c r="BP3">
        <v>14838</v>
      </c>
      <c r="BQ3">
        <v>12293</v>
      </c>
      <c r="BR3">
        <v>0</v>
      </c>
      <c r="BS3">
        <v>0</v>
      </c>
      <c r="BT3" s="45">
        <f>($BL$8-BN3)/$BL$8</f>
        <v>6.4777922446621991E-2</v>
      </c>
      <c r="BU3" s="21"/>
      <c r="BV3" s="48"/>
      <c r="BW3" s="22"/>
      <c r="BX3" s="68"/>
      <c r="BZ3" s="24">
        <f>0.4 * CA3 + 0.4 * CB3 + 0.2 * CE3</f>
        <v>20584.400000000001</v>
      </c>
      <c r="CA3">
        <v>36723</v>
      </c>
      <c r="CB3">
        <v>14738</v>
      </c>
      <c r="CC3">
        <v>11318</v>
      </c>
      <c r="CD3">
        <v>0</v>
      </c>
      <c r="CE3">
        <v>0</v>
      </c>
      <c r="CF3" s="45">
        <f>($BX$8-BZ3)/$BX$8</f>
        <v>3.5859484777517499E-2</v>
      </c>
      <c r="CG3" s="21"/>
      <c r="CH3" s="48"/>
      <c r="CI3" s="22"/>
      <c r="CJ3" s="67"/>
      <c r="CL3" s="24">
        <f>0.4 * CM3 + 0.4 * CN3 + 0.2 * CQ3</f>
        <v>15551.2</v>
      </c>
      <c r="CM3">
        <v>22757</v>
      </c>
      <c r="CN3">
        <v>16121</v>
      </c>
      <c r="CO3">
        <v>10216</v>
      </c>
      <c r="CP3">
        <v>0</v>
      </c>
      <c r="CQ3" s="6">
        <v>0</v>
      </c>
      <c r="CR3" s="45">
        <f>($CJ$8-CL3)/$CJ$8</f>
        <v>0.16117200310693017</v>
      </c>
      <c r="CS3" s="21"/>
      <c r="CT3" s="48"/>
      <c r="CU3" s="21"/>
      <c r="CV3" s="152"/>
      <c r="CY3" s="152"/>
      <c r="CZ3" s="152"/>
      <c r="DA3" s="152"/>
      <c r="DB3" s="152"/>
      <c r="DC3" s="152"/>
      <c r="DD3" s="152"/>
    </row>
    <row r="4" spans="1:207" ht="14.4" hidden="1" customHeight="1" x14ac:dyDescent="0.3">
      <c r="A4" s="151"/>
      <c r="B4" s="60"/>
      <c r="C4" s="23"/>
      <c r="D4" s="24">
        <f>0.4 * E4 + 0.4 * F4 + 0.2 * I4</f>
        <v>12814.4</v>
      </c>
      <c r="E4">
        <v>21666</v>
      </c>
      <c r="F4">
        <v>10370</v>
      </c>
      <c r="G4">
        <v>0</v>
      </c>
      <c r="H4">
        <v>0</v>
      </c>
      <c r="I4">
        <v>0</v>
      </c>
      <c r="L4" s="45">
        <f t="shared" ref="L4:L7" si="0">($B$8-D4)/$B$8</f>
        <v>5.3169794591399464E-2</v>
      </c>
      <c r="N4" s="46"/>
      <c r="O4" s="6"/>
      <c r="R4" s="24">
        <f>0.4 * S4 + 0.4 * T4 + 0.2 * W4</f>
        <v>38781.600000000006</v>
      </c>
      <c r="S4">
        <v>76224</v>
      </c>
      <c r="T4">
        <v>20369</v>
      </c>
      <c r="U4">
        <v>2464</v>
      </c>
      <c r="V4">
        <v>0</v>
      </c>
      <c r="W4">
        <v>722</v>
      </c>
      <c r="X4" s="45">
        <f>($P$8-R4)/$P$8</f>
        <v>0.26201132626963819</v>
      </c>
      <c r="Z4" s="46"/>
      <c r="AA4" s="6"/>
      <c r="AB4" s="67"/>
      <c r="AD4" s="24">
        <f>0.4 * AE4 + 0.4 * AF4 + 0.2 * AI4</f>
        <v>19962.400000000001</v>
      </c>
      <c r="AE4">
        <v>37680</v>
      </c>
      <c r="AF4">
        <v>12226</v>
      </c>
      <c r="AG4">
        <v>12671</v>
      </c>
      <c r="AH4">
        <v>0</v>
      </c>
      <c r="AI4">
        <v>0</v>
      </c>
      <c r="AJ4" s="45">
        <f t="shared" ref="AJ4:AJ6" si="1">($AB$8-AD4)/$AB$8</f>
        <v>0.1852347678443152</v>
      </c>
      <c r="AL4" s="46"/>
      <c r="AM4" s="6"/>
      <c r="AN4" s="68"/>
      <c r="AP4" s="24">
        <f>0.4 * AQ4 + 0.4 * AR4 + 0.2 * AU4</f>
        <v>26356.800000000003</v>
      </c>
      <c r="AQ4">
        <v>43388</v>
      </c>
      <c r="AR4">
        <v>22504</v>
      </c>
      <c r="AS4">
        <v>19371</v>
      </c>
      <c r="AT4">
        <v>0</v>
      </c>
      <c r="AU4">
        <v>0</v>
      </c>
      <c r="AV4" s="45">
        <f t="shared" ref="AV4:AV7" si="2">($AN$8-AP4)/$AN$8</f>
        <v>8.7949505854995377E-2</v>
      </c>
      <c r="AX4" s="46"/>
      <c r="AY4" s="6"/>
      <c r="AZ4" s="68"/>
      <c r="BB4" s="24">
        <f>0.4 * BC4 + 0.4 * BD4 + 0.2 * BG4</f>
        <v>26732.800000000003</v>
      </c>
      <c r="BC4">
        <v>52173</v>
      </c>
      <c r="BD4">
        <v>14659</v>
      </c>
      <c r="BE4">
        <v>0</v>
      </c>
      <c r="BF4">
        <v>0</v>
      </c>
      <c r="BG4">
        <v>0</v>
      </c>
      <c r="BH4" s="45">
        <f t="shared" ref="BH4:BH6" si="3">($AZ$8-BB4)/$AZ$8</f>
        <v>5.3156522724696662E-2</v>
      </c>
      <c r="BJ4" s="46"/>
      <c r="BK4" s="6"/>
      <c r="BL4" s="68"/>
      <c r="BN4" s="24">
        <f>0.4 * BO4 + 0.4 * BP4 + 0.2 * BS4</f>
        <v>38199.200000000004</v>
      </c>
      <c r="BO4">
        <v>80662</v>
      </c>
      <c r="BP4">
        <v>14836</v>
      </c>
      <c r="BQ4">
        <v>12044</v>
      </c>
      <c r="BR4">
        <v>0</v>
      </c>
      <c r="BS4">
        <v>0</v>
      </c>
      <c r="BT4" s="45">
        <f t="shared" ref="BT4:BT7" si="4">($BL$8-BN4)/$BL$8</f>
        <v>6.5110769562110107E-2</v>
      </c>
      <c r="BV4" s="46"/>
      <c r="BW4" s="6"/>
      <c r="BX4" s="68"/>
      <c r="BZ4" s="24">
        <f>0.4 * CA4 + 0.4 * CB4 + 0.2 * CE4</f>
        <v>20530.8</v>
      </c>
      <c r="CA4">
        <v>36595</v>
      </c>
      <c r="CB4">
        <v>14732</v>
      </c>
      <c r="CC4">
        <v>11324</v>
      </c>
      <c r="CD4">
        <v>0</v>
      </c>
      <c r="CE4">
        <v>0</v>
      </c>
      <c r="CF4" s="45">
        <f t="shared" ref="CF4:CF7" si="5">($BX$8-BZ4)/$BX$8</f>
        <v>3.8370023419203779E-2</v>
      </c>
      <c r="CH4" s="46"/>
      <c r="CI4" s="6"/>
      <c r="CJ4" s="67"/>
      <c r="CL4" s="24">
        <f>0.4 * CM4 + 0.4 * CN4 + 0.2 * CQ4</f>
        <v>15763.2</v>
      </c>
      <c r="CM4">
        <v>23261</v>
      </c>
      <c r="CN4">
        <v>16147</v>
      </c>
      <c r="CO4">
        <v>10163</v>
      </c>
      <c r="CP4">
        <v>0</v>
      </c>
      <c r="CQ4" s="6">
        <v>0</v>
      </c>
      <c r="CR4" s="45">
        <f t="shared" ref="CR4:CR7" si="6">($CJ$8-CL4)/$CJ$8</f>
        <v>0.14973677397082938</v>
      </c>
      <c r="CT4" s="46"/>
      <c r="CV4" s="152"/>
      <c r="CY4" s="152"/>
      <c r="CZ4" s="152"/>
      <c r="DA4" s="152"/>
      <c r="DB4" s="152"/>
      <c r="DC4" s="152"/>
      <c r="DD4" s="152"/>
    </row>
    <row r="5" spans="1:207" ht="14.4" hidden="1" customHeight="1" x14ac:dyDescent="0.3">
      <c r="A5" s="151"/>
      <c r="B5" s="60"/>
      <c r="C5" s="23"/>
      <c r="D5" s="24">
        <f t="shared" ref="D5:D6" si="7">0.4 * E5 + 0.4 * F5 + 0.2 * I5</f>
        <v>12374.400000000001</v>
      </c>
      <c r="E5">
        <v>20587</v>
      </c>
      <c r="F5">
        <v>10349</v>
      </c>
      <c r="G5">
        <v>0</v>
      </c>
      <c r="H5">
        <v>0</v>
      </c>
      <c r="I5">
        <v>0</v>
      </c>
      <c r="L5" s="45">
        <f t="shared" si="0"/>
        <v>8.5680508349342294E-2</v>
      </c>
      <c r="N5" s="46"/>
      <c r="O5" s="6"/>
      <c r="R5" s="24">
        <f t="shared" ref="R5:R6" si="8">0.4 * S5 + 0.4 * T5 + 0.2 * W5</f>
        <v>38674.400000000001</v>
      </c>
      <c r="S5">
        <v>76006</v>
      </c>
      <c r="T5">
        <v>20367</v>
      </c>
      <c r="U5">
        <v>2845</v>
      </c>
      <c r="V5">
        <v>0</v>
      </c>
      <c r="W5">
        <v>626</v>
      </c>
      <c r="X5" s="45">
        <f t="shared" ref="X5:X6" si="9">($P$8-R5)/$P$8</f>
        <v>0.26405127268298623</v>
      </c>
      <c r="Z5" s="46"/>
      <c r="AA5" s="6"/>
      <c r="AB5" s="67"/>
      <c r="AD5" s="24">
        <f t="shared" ref="AD5:AD7" si="10">0.4 * AE5 + 0.4 * AF5 + 0.2 * AI5</f>
        <v>20052</v>
      </c>
      <c r="AE5">
        <v>37890</v>
      </c>
      <c r="AF5">
        <v>12240</v>
      </c>
      <c r="AG5">
        <v>11655</v>
      </c>
      <c r="AH5">
        <v>0</v>
      </c>
      <c r="AI5">
        <v>0</v>
      </c>
      <c r="AJ5" s="45">
        <f t="shared" si="1"/>
        <v>0.18157774440018282</v>
      </c>
      <c r="AL5" s="46"/>
      <c r="AM5" s="6"/>
      <c r="AN5" s="68"/>
      <c r="AP5" s="24">
        <f t="shared" ref="AP5:AP7" si="11">0.4 * AQ5 + 0.4 * AR5 + 0.2 * AU5</f>
        <v>26370.400000000001</v>
      </c>
      <c r="AQ5">
        <v>43402</v>
      </c>
      <c r="AR5">
        <v>22524</v>
      </c>
      <c r="AS5">
        <v>20154</v>
      </c>
      <c r="AT5">
        <v>0</v>
      </c>
      <c r="AU5">
        <v>0</v>
      </c>
      <c r="AV5" s="45">
        <f t="shared" si="2"/>
        <v>8.7478891564930925E-2</v>
      </c>
      <c r="AX5" s="46"/>
      <c r="AY5" s="6"/>
      <c r="AZ5" s="68"/>
      <c r="BB5" s="24">
        <f t="shared" ref="BB5:BB7" si="12">0.4 * BC5 + 0.4 * BD5 + 0.2 * BG5</f>
        <v>26586</v>
      </c>
      <c r="BC5">
        <v>51740</v>
      </c>
      <c r="BD5">
        <v>14725</v>
      </c>
      <c r="BE5">
        <v>0</v>
      </c>
      <c r="BF5">
        <v>0</v>
      </c>
      <c r="BG5">
        <v>0</v>
      </c>
      <c r="BH5" s="45">
        <f t="shared" si="3"/>
        <v>5.8356001360081559E-2</v>
      </c>
      <c r="BJ5" s="46"/>
      <c r="BK5" s="6"/>
      <c r="BL5" s="68"/>
      <c r="BN5" s="24">
        <f t="shared" ref="BN5:BN7" si="13">0.4 * BO5 + 0.4 * BP5 + 0.2 * BS5</f>
        <v>38274.800000000003</v>
      </c>
      <c r="BO5">
        <v>80876</v>
      </c>
      <c r="BP5">
        <v>14811</v>
      </c>
      <c r="BQ5">
        <v>12376</v>
      </c>
      <c r="BR5">
        <v>0</v>
      </c>
      <c r="BS5">
        <v>0</v>
      </c>
      <c r="BT5" s="45">
        <f t="shared" si="4"/>
        <v>6.3260531184837737E-2</v>
      </c>
      <c r="BV5" s="46"/>
      <c r="BW5" s="6"/>
      <c r="BX5" s="68"/>
      <c r="BZ5" s="24">
        <f t="shared" ref="BZ5:BZ7" si="14">0.4 * CA5 + 0.4 * CB5 + 0.2 * CE5</f>
        <v>20597.2</v>
      </c>
      <c r="CA5">
        <v>36752</v>
      </c>
      <c r="CB5">
        <v>14741</v>
      </c>
      <c r="CC5">
        <v>11291</v>
      </c>
      <c r="CD5">
        <v>0</v>
      </c>
      <c r="CE5">
        <v>0</v>
      </c>
      <c r="CF5" s="45">
        <f t="shared" si="5"/>
        <v>3.5259953161592472E-2</v>
      </c>
      <c r="CH5" s="46"/>
      <c r="CI5" s="6"/>
      <c r="CJ5" s="67"/>
      <c r="CL5" s="24">
        <f t="shared" ref="CL5:CL7" si="15">0.4 * CM5 + 0.4 * CN5 + 0.2 * CQ5</f>
        <v>15771.2</v>
      </c>
      <c r="CM5">
        <v>23281</v>
      </c>
      <c r="CN5">
        <v>16147</v>
      </c>
      <c r="CO5">
        <v>10163</v>
      </c>
      <c r="CP5">
        <v>0</v>
      </c>
      <c r="CQ5" s="6">
        <v>0</v>
      </c>
      <c r="CR5" s="45">
        <f t="shared" si="6"/>
        <v>0.14930525589022178</v>
      </c>
      <c r="CT5" s="46"/>
      <c r="CV5" s="152"/>
      <c r="CY5" s="152"/>
      <c r="CZ5" s="152"/>
      <c r="DA5" s="152"/>
      <c r="DB5" s="152"/>
      <c r="DC5" s="152"/>
      <c r="DD5" s="152"/>
    </row>
    <row r="6" spans="1:207" ht="14.4" hidden="1" customHeight="1" x14ac:dyDescent="0.3">
      <c r="A6" s="151"/>
      <c r="B6" s="60"/>
      <c r="C6" s="23"/>
      <c r="D6" s="24">
        <f t="shared" si="7"/>
        <v>12374.400000000001</v>
      </c>
      <c r="E6">
        <v>20587</v>
      </c>
      <c r="F6">
        <v>10349</v>
      </c>
      <c r="G6">
        <v>0</v>
      </c>
      <c r="H6">
        <v>0</v>
      </c>
      <c r="I6">
        <v>0</v>
      </c>
      <c r="L6" s="45">
        <f>($B$8-D6)/$B$8</f>
        <v>8.5680508349342294E-2</v>
      </c>
      <c r="N6" s="46"/>
      <c r="O6" s="6"/>
      <c r="R6" s="24">
        <f t="shared" si="8"/>
        <v>39078.400000000001</v>
      </c>
      <c r="S6">
        <v>76999</v>
      </c>
      <c r="T6">
        <v>20558</v>
      </c>
      <c r="U6">
        <v>1256</v>
      </c>
      <c r="V6">
        <v>0</v>
      </c>
      <c r="W6">
        <v>278</v>
      </c>
      <c r="X6" s="45">
        <f t="shared" si="9"/>
        <v>0.25636341493118986</v>
      </c>
      <c r="Z6" s="46"/>
      <c r="AA6" s="6"/>
      <c r="AB6" s="67"/>
      <c r="AD6" s="24">
        <f t="shared" si="10"/>
        <v>19962.400000000001</v>
      </c>
      <c r="AE6">
        <v>37680</v>
      </c>
      <c r="AF6">
        <v>12226</v>
      </c>
      <c r="AG6">
        <v>11897</v>
      </c>
      <c r="AH6">
        <v>0</v>
      </c>
      <c r="AI6">
        <v>0</v>
      </c>
      <c r="AJ6" s="45">
        <f t="shared" si="1"/>
        <v>0.1852347678443152</v>
      </c>
      <c r="AL6" s="46"/>
      <c r="AM6" s="6"/>
      <c r="AN6" s="68"/>
      <c r="AP6" s="24">
        <f t="shared" si="11"/>
        <v>26612.400000000001</v>
      </c>
      <c r="AQ6">
        <v>43950</v>
      </c>
      <c r="AR6">
        <v>22581</v>
      </c>
      <c r="AS6">
        <v>0</v>
      </c>
      <c r="AT6">
        <v>0</v>
      </c>
      <c r="AU6">
        <v>0</v>
      </c>
      <c r="AV6" s="45">
        <f t="shared" si="2"/>
        <v>7.9104725521136121E-2</v>
      </c>
      <c r="AX6" s="46"/>
      <c r="AY6" s="6"/>
      <c r="AZ6" s="68"/>
      <c r="BB6" s="24">
        <f t="shared" si="12"/>
        <v>26736.800000000003</v>
      </c>
      <c r="BC6">
        <v>52212</v>
      </c>
      <c r="BD6">
        <v>14630</v>
      </c>
      <c r="BE6">
        <v>0</v>
      </c>
      <c r="BF6">
        <v>0</v>
      </c>
      <c r="BG6">
        <v>0</v>
      </c>
      <c r="BH6" s="45">
        <f t="shared" si="3"/>
        <v>5.3014847557519965E-2</v>
      </c>
      <c r="BJ6" s="46"/>
      <c r="BK6" s="6"/>
      <c r="BL6" s="68"/>
      <c r="BN6" s="24">
        <f t="shared" si="13"/>
        <v>38189.200000000004</v>
      </c>
      <c r="BO6">
        <v>80641</v>
      </c>
      <c r="BP6">
        <v>14832</v>
      </c>
      <c r="BQ6">
        <v>12038</v>
      </c>
      <c r="BR6">
        <v>0</v>
      </c>
      <c r="BS6">
        <v>0</v>
      </c>
      <c r="BT6" s="45">
        <f t="shared" si="4"/>
        <v>6.5355510088204352E-2</v>
      </c>
      <c r="BV6" s="46"/>
      <c r="BW6" s="6"/>
      <c r="BX6" s="68"/>
      <c r="BZ6" s="24">
        <f t="shared" si="14"/>
        <v>20584.400000000001</v>
      </c>
      <c r="CA6">
        <v>36723</v>
      </c>
      <c r="CB6">
        <v>14738</v>
      </c>
      <c r="CC6">
        <v>11299</v>
      </c>
      <c r="CD6">
        <v>0</v>
      </c>
      <c r="CE6">
        <v>0</v>
      </c>
      <c r="CF6" s="45">
        <f>($BX$8-BZ6)/$BX$8</f>
        <v>3.5859484777517499E-2</v>
      </c>
      <c r="CH6" s="46"/>
      <c r="CI6" s="6"/>
      <c r="CJ6" s="67"/>
      <c r="CL6" s="24">
        <f t="shared" si="15"/>
        <v>15553.600000000002</v>
      </c>
      <c r="CM6">
        <v>22763</v>
      </c>
      <c r="CN6">
        <v>16121</v>
      </c>
      <c r="CO6">
        <v>10216</v>
      </c>
      <c r="CP6">
        <v>0</v>
      </c>
      <c r="CQ6" s="6">
        <v>0</v>
      </c>
      <c r="CR6" s="45">
        <f t="shared" si="6"/>
        <v>0.16104254768274781</v>
      </c>
      <c r="CT6" s="46"/>
      <c r="CV6" s="152"/>
      <c r="CY6" s="152"/>
      <c r="CZ6" s="152"/>
      <c r="DA6" s="152"/>
      <c r="DB6" s="152"/>
      <c r="DC6" s="152"/>
      <c r="DD6" s="152"/>
    </row>
    <row r="7" spans="1:207" ht="14.4" hidden="1" customHeight="1" x14ac:dyDescent="0.3">
      <c r="A7" s="151"/>
      <c r="B7" s="60"/>
      <c r="C7" s="23"/>
      <c r="D7" s="24">
        <f>0.4 * E7 + 0.4 * F7 + 0.2 * I7</f>
        <v>12814.4</v>
      </c>
      <c r="E7">
        <v>21666</v>
      </c>
      <c r="F7">
        <v>10370</v>
      </c>
      <c r="G7">
        <v>0</v>
      </c>
      <c r="H7">
        <v>0</v>
      </c>
      <c r="I7">
        <v>0</v>
      </c>
      <c r="J7" s="20">
        <v>0.11501421367752425</v>
      </c>
      <c r="K7" s="20">
        <v>0</v>
      </c>
      <c r="L7" s="45">
        <f t="shared" si="0"/>
        <v>5.3169794591399464E-2</v>
      </c>
      <c r="N7" s="46"/>
      <c r="O7" s="6"/>
      <c r="R7" s="24">
        <f>0.4 * S7 + 0.4 * T7 + 0.2 * W7</f>
        <v>38247.800000000003</v>
      </c>
      <c r="S7">
        <v>75272</v>
      </c>
      <c r="T7">
        <v>20158</v>
      </c>
      <c r="U7">
        <v>1169</v>
      </c>
      <c r="V7">
        <v>0</v>
      </c>
      <c r="W7">
        <v>379</v>
      </c>
      <c r="X7" s="45">
        <f>($P$8-R7)/$P$8</f>
        <v>0.27216919376446225</v>
      </c>
      <c r="Z7" s="46"/>
      <c r="AA7" s="6"/>
      <c r="AB7" s="67"/>
      <c r="AD7" s="24">
        <f t="shared" si="10"/>
        <v>19962.400000000001</v>
      </c>
      <c r="AE7">
        <v>37680</v>
      </c>
      <c r="AF7">
        <v>12226</v>
      </c>
      <c r="AG7">
        <v>11765</v>
      </c>
      <c r="AH7">
        <v>0</v>
      </c>
      <c r="AI7">
        <v>0</v>
      </c>
      <c r="AJ7" s="45">
        <f>($AB$8-AD7)/$AB$8</f>
        <v>0.1852347678443152</v>
      </c>
      <c r="AL7" s="46"/>
      <c r="AM7" s="6"/>
      <c r="AN7" s="68"/>
      <c r="AP7" s="24">
        <f t="shared" si="11"/>
        <v>26306</v>
      </c>
      <c r="AQ7">
        <v>43272</v>
      </c>
      <c r="AR7">
        <v>22493</v>
      </c>
      <c r="AS7">
        <v>20168</v>
      </c>
      <c r="AT7">
        <v>0</v>
      </c>
      <c r="AU7">
        <v>0</v>
      </c>
      <c r="AV7" s="45">
        <f t="shared" si="2"/>
        <v>8.9707388644354055E-2</v>
      </c>
      <c r="AX7" s="46"/>
      <c r="AY7" s="6"/>
      <c r="AZ7" s="68"/>
      <c r="BB7" s="24">
        <f t="shared" si="12"/>
        <v>26586</v>
      </c>
      <c r="BC7">
        <v>51740</v>
      </c>
      <c r="BD7">
        <v>14725</v>
      </c>
      <c r="BE7">
        <v>0</v>
      </c>
      <c r="BF7">
        <v>0</v>
      </c>
      <c r="BG7">
        <v>0</v>
      </c>
      <c r="BH7" s="45">
        <f>($AZ$8-BB7)/$AZ$8</f>
        <v>5.8356001360081559E-2</v>
      </c>
      <c r="BJ7" s="46"/>
      <c r="BK7" s="6"/>
      <c r="BL7" s="68"/>
      <c r="BN7" s="24">
        <f t="shared" si="13"/>
        <v>38226.400000000001</v>
      </c>
      <c r="BO7">
        <v>80722</v>
      </c>
      <c r="BP7">
        <v>14844</v>
      </c>
      <c r="BQ7">
        <v>12199</v>
      </c>
      <c r="BR7">
        <v>0</v>
      </c>
      <c r="BS7">
        <v>0</v>
      </c>
      <c r="BT7" s="45">
        <f t="shared" si="4"/>
        <v>6.4445075331133861E-2</v>
      </c>
      <c r="BV7" s="46"/>
      <c r="BW7" s="6"/>
      <c r="BX7" s="68"/>
      <c r="BZ7" s="24">
        <f t="shared" si="14"/>
        <v>20584.400000000001</v>
      </c>
      <c r="CA7">
        <v>36723</v>
      </c>
      <c r="CB7">
        <v>14738</v>
      </c>
      <c r="CC7">
        <v>11299</v>
      </c>
      <c r="CD7">
        <v>0</v>
      </c>
      <c r="CE7">
        <v>0</v>
      </c>
      <c r="CF7" s="45">
        <f t="shared" si="5"/>
        <v>3.5859484777517499E-2</v>
      </c>
      <c r="CH7" s="46"/>
      <c r="CI7" s="6"/>
      <c r="CJ7" s="67"/>
      <c r="CL7" s="24">
        <f t="shared" si="15"/>
        <v>15551.2</v>
      </c>
      <c r="CM7">
        <v>22757</v>
      </c>
      <c r="CN7">
        <v>16121</v>
      </c>
      <c r="CO7">
        <v>10236</v>
      </c>
      <c r="CP7">
        <v>0</v>
      </c>
      <c r="CQ7" s="6">
        <v>0</v>
      </c>
      <c r="CR7" s="45">
        <f t="shared" si="6"/>
        <v>0.16117200310693017</v>
      </c>
      <c r="CT7" s="46"/>
      <c r="CV7" s="152"/>
      <c r="CW7" s="20">
        <v>0.11501421367752425</v>
      </c>
      <c r="CX7" s="20">
        <v>0</v>
      </c>
      <c r="CY7" s="152"/>
      <c r="CZ7" s="152"/>
      <c r="DA7" s="152"/>
      <c r="DB7" s="152"/>
      <c r="DC7" s="152"/>
      <c r="DD7" s="152"/>
    </row>
    <row r="8" spans="1:207" s="55" customFormat="1" x14ac:dyDescent="0.3">
      <c r="A8" s="52" t="s">
        <v>10</v>
      </c>
      <c r="B8" s="53" t="s">
        <v>41</v>
      </c>
      <c r="C8" s="53">
        <v>22829</v>
      </c>
      <c r="D8" s="54">
        <v>12626.640000000001</v>
      </c>
      <c r="E8" s="55">
        <v>21196.6</v>
      </c>
      <c r="F8" s="55">
        <v>10370</v>
      </c>
      <c r="G8" s="55">
        <v>0</v>
      </c>
      <c r="H8" s="55">
        <v>0</v>
      </c>
      <c r="I8" s="55">
        <v>0</v>
      </c>
      <c r="J8" s="27">
        <v>0.1144624286400967</v>
      </c>
      <c r="K8" s="27">
        <v>5.4085398971173582E-3</v>
      </c>
      <c r="L8" s="27">
        <v>6.7043002807743363E-2</v>
      </c>
      <c r="M8" s="27">
        <v>1.7105840771999843E-2</v>
      </c>
      <c r="N8" s="73">
        <v>7.1505541197599609E-2</v>
      </c>
      <c r="O8" s="27" t="e">
        <v>#DIV/0!</v>
      </c>
      <c r="P8" s="65">
        <v>52550.400000000001</v>
      </c>
      <c r="Q8" s="26">
        <v>81057</v>
      </c>
      <c r="R8" s="49">
        <v>38609.519999999997</v>
      </c>
      <c r="S8">
        <v>75882.2</v>
      </c>
      <c r="T8">
        <v>20320.400000000001</v>
      </c>
      <c r="U8">
        <v>1582.6</v>
      </c>
      <c r="V8">
        <v>0</v>
      </c>
      <c r="W8">
        <v>642.4</v>
      </c>
      <c r="X8" s="27">
        <v>0.26528589696748273</v>
      </c>
      <c r="Y8" s="27">
        <v>6.7475709405250845E-3</v>
      </c>
      <c r="Z8" s="73">
        <v>6.3841494257127734E-2</v>
      </c>
      <c r="AA8" s="27" t="e">
        <v>#DIV/0!</v>
      </c>
      <c r="AB8" s="63">
        <v>24500.799999999999</v>
      </c>
      <c r="AC8">
        <v>48120</v>
      </c>
      <c r="AD8" s="49">
        <v>20020.159999999996</v>
      </c>
      <c r="AE8">
        <v>37816</v>
      </c>
      <c r="AF8">
        <v>12234.4</v>
      </c>
      <c r="AG8">
        <v>11825.8</v>
      </c>
      <c r="AH8">
        <v>0</v>
      </c>
      <c r="AI8">
        <v>0</v>
      </c>
      <c r="AJ8" s="27">
        <v>0.18287729380265147</v>
      </c>
      <c r="AK8" s="27">
        <v>3.5947162506680124E-3</v>
      </c>
      <c r="AL8" s="73">
        <v>0.21413133832086451</v>
      </c>
      <c r="AM8" s="27" t="e">
        <v>#DIV/0!</v>
      </c>
      <c r="AN8" s="65">
        <v>28898.400000000001</v>
      </c>
      <c r="AO8">
        <v>48676</v>
      </c>
      <c r="AP8" s="49">
        <v>26386.32</v>
      </c>
      <c r="AQ8">
        <v>43448.800000000003</v>
      </c>
      <c r="AR8">
        <v>22517</v>
      </c>
      <c r="AS8">
        <v>15969.4</v>
      </c>
      <c r="AT8">
        <v>0</v>
      </c>
      <c r="AU8">
        <v>0</v>
      </c>
      <c r="AV8" s="27">
        <v>8.6927996013620182E-2</v>
      </c>
      <c r="AW8" s="84">
        <v>4.5367023806477374E-3</v>
      </c>
      <c r="AX8" s="73">
        <v>0.10738762429123176</v>
      </c>
      <c r="AY8" s="27" t="e">
        <v>#DIV/0!</v>
      </c>
      <c r="AZ8" s="65">
        <v>28233.599999999999</v>
      </c>
      <c r="BA8">
        <v>55474</v>
      </c>
      <c r="BB8" s="49">
        <v>26645.52</v>
      </c>
      <c r="BC8">
        <v>51921</v>
      </c>
      <c r="BD8">
        <v>14692.8</v>
      </c>
      <c r="BE8">
        <v>0</v>
      </c>
      <c r="BF8">
        <v>0</v>
      </c>
      <c r="BG8">
        <v>0</v>
      </c>
      <c r="BH8" s="27">
        <v>5.6247874872492283E-2</v>
      </c>
      <c r="BI8" s="27">
        <v>2.8871056260580518E-3</v>
      </c>
      <c r="BJ8" s="73">
        <v>6.4048022497025639E-2</v>
      </c>
      <c r="BK8" s="27" t="e">
        <v>#DIV/0!</v>
      </c>
      <c r="BL8" s="65">
        <v>40859.599999999999</v>
      </c>
      <c r="BM8">
        <v>86423</v>
      </c>
      <c r="BN8" s="49">
        <v>38220.479999999996</v>
      </c>
      <c r="BO8">
        <v>80719</v>
      </c>
      <c r="BP8">
        <v>14832.2</v>
      </c>
      <c r="BQ8">
        <v>12190</v>
      </c>
      <c r="BR8">
        <v>0</v>
      </c>
      <c r="BS8">
        <v>0</v>
      </c>
      <c r="BT8" s="27">
        <v>6.4589961722581787E-2</v>
      </c>
      <c r="BU8" s="27">
        <v>8.1868980094973866E-4</v>
      </c>
      <c r="BV8" s="73">
        <v>6.6000948821494279E-2</v>
      </c>
      <c r="BW8" s="27" t="e">
        <v>#DIV/0!</v>
      </c>
      <c r="BX8" s="65">
        <v>21350</v>
      </c>
      <c r="BY8">
        <v>38534</v>
      </c>
      <c r="BZ8" s="49">
        <v>20576.239999999998</v>
      </c>
      <c r="CA8">
        <v>36703.199999999997</v>
      </c>
      <c r="CB8">
        <v>14737.4</v>
      </c>
      <c r="CC8">
        <v>11306.2</v>
      </c>
      <c r="CD8">
        <v>0</v>
      </c>
      <c r="CE8">
        <v>0</v>
      </c>
      <c r="CF8" s="27">
        <v>3.6241686182669881E-2</v>
      </c>
      <c r="CG8" s="27">
        <v>1.2177697708713141E-3</v>
      </c>
      <c r="CH8" s="73">
        <v>4.7511288732028936E-2</v>
      </c>
      <c r="CI8" s="27" t="e">
        <v>#DIV/0!</v>
      </c>
      <c r="CJ8" s="63">
        <v>18539.2</v>
      </c>
      <c r="CK8">
        <v>28067</v>
      </c>
      <c r="CL8" s="49">
        <v>15638.080000000002</v>
      </c>
      <c r="CM8">
        <v>22963.8</v>
      </c>
      <c r="CN8">
        <v>16131.4</v>
      </c>
      <c r="CO8">
        <v>10198.799999999999</v>
      </c>
      <c r="CP8">
        <v>0</v>
      </c>
      <c r="CQ8">
        <v>0</v>
      </c>
      <c r="CR8" s="27">
        <v>0.15648571675153183</v>
      </c>
      <c r="CS8" s="27">
        <v>6.3599236352190804E-3</v>
      </c>
      <c r="CT8" s="73">
        <v>0.18182206862151284</v>
      </c>
      <c r="CU8" s="27" t="e">
        <v>#DIV/0!</v>
      </c>
      <c r="CV8"/>
      <c r="CW8" s="27">
        <v>0.1144624286400967</v>
      </c>
      <c r="CX8" s="27">
        <v>5.4085398971173582E-3</v>
      </c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GV8" s="55" t="e">
        <v>#DIV/0!</v>
      </c>
      <c r="GW8" s="55" t="e">
        <v>#DIV/0!</v>
      </c>
      <c r="GX8" s="55" t="e">
        <v>#DIV/0!</v>
      </c>
      <c r="GY8" s="55" t="e">
        <v>#DIV/0!</v>
      </c>
    </row>
    <row r="9" spans="1:207" ht="14.4" hidden="1" customHeight="1" x14ac:dyDescent="0.3">
      <c r="A9" s="151" t="s">
        <v>50</v>
      </c>
      <c r="B9" s="60"/>
      <c r="C9" s="23"/>
      <c r="D9" s="24">
        <v>12358.400000000001</v>
      </c>
      <c r="E9">
        <v>20587</v>
      </c>
      <c r="F9">
        <v>10349</v>
      </c>
      <c r="G9">
        <v>0</v>
      </c>
      <c r="H9">
        <v>0</v>
      </c>
      <c r="I9">
        <v>0</v>
      </c>
      <c r="J9" s="27">
        <v>0.11831169471852902</v>
      </c>
      <c r="K9" s="27">
        <v>0</v>
      </c>
      <c r="L9" s="27">
        <v>8.6869463059974353E-2</v>
      </c>
      <c r="N9" s="73"/>
      <c r="R9" s="49">
        <v>38140.6</v>
      </c>
      <c r="S9">
        <v>74582</v>
      </c>
      <c r="T9">
        <v>20298</v>
      </c>
      <c r="U9">
        <v>273</v>
      </c>
      <c r="V9">
        <v>0</v>
      </c>
      <c r="W9">
        <v>943</v>
      </c>
      <c r="X9" s="27">
        <v>0.27422295124392504</v>
      </c>
      <c r="Z9" s="73"/>
      <c r="AD9" s="49">
        <v>19962.400000000001</v>
      </c>
      <c r="AE9">
        <v>37680</v>
      </c>
      <c r="AF9">
        <v>12226</v>
      </c>
      <c r="AG9">
        <v>11669</v>
      </c>
      <c r="AH9">
        <v>0</v>
      </c>
      <c r="AI9">
        <v>0</v>
      </c>
      <c r="AJ9" s="27">
        <v>0.18526802112497848</v>
      </c>
      <c r="AL9" s="73"/>
      <c r="AP9" s="49">
        <v>26327.599999999999</v>
      </c>
      <c r="AQ9">
        <v>43330</v>
      </c>
      <c r="AR9">
        <v>22489</v>
      </c>
      <c r="AS9">
        <v>19258</v>
      </c>
      <c r="AT9">
        <v>0</v>
      </c>
      <c r="AU9">
        <v>0</v>
      </c>
      <c r="AV9" s="27">
        <v>8.8991466950871054E-2</v>
      </c>
      <c r="AX9" s="73"/>
      <c r="BB9" s="49">
        <v>26586</v>
      </c>
      <c r="BC9">
        <v>51740</v>
      </c>
      <c r="BD9">
        <v>14725</v>
      </c>
      <c r="BE9">
        <v>0</v>
      </c>
      <c r="BF9">
        <v>0</v>
      </c>
      <c r="BG9">
        <v>0</v>
      </c>
      <c r="BH9" s="27">
        <v>5.8389352071571712E-2</v>
      </c>
      <c r="BJ9" s="73"/>
      <c r="BN9" s="49">
        <v>38260.800000000003</v>
      </c>
      <c r="BO9">
        <v>80809</v>
      </c>
      <c r="BP9">
        <v>14843</v>
      </c>
      <c r="BQ9">
        <v>12923</v>
      </c>
      <c r="BR9">
        <v>0</v>
      </c>
      <c r="BS9">
        <v>0</v>
      </c>
      <c r="BT9" s="27">
        <v>6.3626084785832704E-2</v>
      </c>
      <c r="BV9" s="73"/>
      <c r="BZ9" s="49">
        <v>20540.400000000001</v>
      </c>
      <c r="CA9">
        <v>36617</v>
      </c>
      <c r="CB9">
        <v>14734</v>
      </c>
      <c r="CC9">
        <v>11303</v>
      </c>
      <c r="CD9">
        <v>0</v>
      </c>
      <c r="CE9">
        <v>0</v>
      </c>
      <c r="CF9" s="27">
        <v>3.7965434874244697E-2</v>
      </c>
      <c r="CH9" s="73"/>
      <c r="CL9" s="49">
        <v>15736.800000000001</v>
      </c>
      <c r="CM9">
        <v>23199</v>
      </c>
      <c r="CN9">
        <v>16143</v>
      </c>
      <c r="CO9">
        <v>10167</v>
      </c>
      <c r="CP9">
        <v>0</v>
      </c>
      <c r="CQ9">
        <v>0</v>
      </c>
      <c r="CR9" s="27">
        <v>0.15116078363683436</v>
      </c>
      <c r="CT9" s="73"/>
      <c r="CV9" s="152"/>
      <c r="CW9" s="27">
        <v>0.11831169471852902</v>
      </c>
      <c r="CX9" s="27">
        <v>0</v>
      </c>
      <c r="CY9" s="152"/>
      <c r="CZ9" s="152"/>
      <c r="DA9" s="152"/>
      <c r="DB9" s="152"/>
      <c r="DC9" s="152"/>
      <c r="DD9" s="152"/>
    </row>
    <row r="10" spans="1:207" ht="14.4" hidden="1" customHeight="1" x14ac:dyDescent="0.3">
      <c r="A10" s="151"/>
      <c r="B10" s="60"/>
      <c r="C10" s="23"/>
      <c r="D10" s="24">
        <v>12442.400000000001</v>
      </c>
      <c r="E10">
        <v>20547</v>
      </c>
      <c r="F10">
        <v>10519</v>
      </c>
      <c r="G10">
        <v>0</v>
      </c>
      <c r="H10">
        <v>0</v>
      </c>
      <c r="I10">
        <v>0</v>
      </c>
      <c r="J10" s="27">
        <v>0.11278109746814727</v>
      </c>
      <c r="K10" s="27">
        <v>0</v>
      </c>
      <c r="L10" s="27">
        <v>8.0662918110550305E-2</v>
      </c>
      <c r="N10" s="73"/>
      <c r="R10" s="49">
        <v>38669</v>
      </c>
      <c r="S10">
        <v>75943</v>
      </c>
      <c r="T10">
        <v>20416</v>
      </c>
      <c r="U10">
        <v>1811</v>
      </c>
      <c r="V10">
        <v>0</v>
      </c>
      <c r="W10">
        <v>627</v>
      </c>
      <c r="X10" s="27">
        <v>0.26416803358235941</v>
      </c>
      <c r="Z10" s="73"/>
      <c r="AD10" s="49">
        <v>20161.599999999999</v>
      </c>
      <c r="AE10">
        <v>38150</v>
      </c>
      <c r="AF10">
        <v>12254</v>
      </c>
      <c r="AG10">
        <v>13509</v>
      </c>
      <c r="AH10">
        <v>0</v>
      </c>
      <c r="AI10">
        <v>0</v>
      </c>
      <c r="AJ10" s="27">
        <v>0.17713800618730055</v>
      </c>
      <c r="AL10" s="73"/>
      <c r="AP10" s="49">
        <v>26636.800000000003</v>
      </c>
      <c r="AQ10">
        <v>43986</v>
      </c>
      <c r="AR10">
        <v>22606</v>
      </c>
      <c r="AS10">
        <v>25143</v>
      </c>
      <c r="AT10">
        <v>0</v>
      </c>
      <c r="AU10">
        <v>0</v>
      </c>
      <c r="AV10" s="27">
        <v>7.8292282884765724E-2</v>
      </c>
      <c r="AX10" s="73"/>
      <c r="BB10" s="49">
        <v>26732.800000000003</v>
      </c>
      <c r="BC10">
        <v>52173</v>
      </c>
      <c r="BD10">
        <v>14659</v>
      </c>
      <c r="BE10">
        <v>0</v>
      </c>
      <c r="BF10">
        <v>0</v>
      </c>
      <c r="BG10">
        <v>0</v>
      </c>
      <c r="BH10" s="27">
        <v>5.3190057588915575E-2</v>
      </c>
      <c r="BJ10" s="73"/>
      <c r="BN10" s="49">
        <v>38189.200000000004</v>
      </c>
      <c r="BO10">
        <v>80641</v>
      </c>
      <c r="BP10">
        <v>14832</v>
      </c>
      <c r="BQ10">
        <v>12104</v>
      </c>
      <c r="BR10">
        <v>0</v>
      </c>
      <c r="BS10">
        <v>0</v>
      </c>
      <c r="BT10" s="27">
        <v>6.5378384066802603E-2</v>
      </c>
      <c r="BV10" s="73"/>
      <c r="BZ10" s="49">
        <v>20584.400000000001</v>
      </c>
      <c r="CA10">
        <v>36723</v>
      </c>
      <c r="CB10">
        <v>14738</v>
      </c>
      <c r="CC10">
        <v>11299</v>
      </c>
      <c r="CD10">
        <v>0</v>
      </c>
      <c r="CE10">
        <v>0</v>
      </c>
      <c r="CF10" s="27">
        <v>3.5904641468783596E-2</v>
      </c>
      <c r="CH10" s="73"/>
      <c r="CL10" s="49">
        <v>15804.400000000001</v>
      </c>
      <c r="CM10">
        <v>23360</v>
      </c>
      <c r="CN10">
        <v>16151</v>
      </c>
      <c r="CO10">
        <v>10159</v>
      </c>
      <c r="CP10">
        <v>0</v>
      </c>
      <c r="CQ10">
        <v>0</v>
      </c>
      <c r="CR10" s="27">
        <v>0.1475144558557003</v>
      </c>
      <c r="CT10" s="73"/>
      <c r="CV10" s="152"/>
      <c r="CW10" s="27">
        <v>0.11278109746814727</v>
      </c>
      <c r="CX10" s="27">
        <v>0</v>
      </c>
      <c r="CY10" s="152"/>
      <c r="CZ10" s="152"/>
      <c r="DA10" s="152"/>
      <c r="DB10" s="152"/>
      <c r="DC10" s="152"/>
      <c r="DD10" s="152"/>
    </row>
    <row r="11" spans="1:207" ht="14.4" hidden="1" customHeight="1" x14ac:dyDescent="0.3">
      <c r="A11" s="151"/>
      <c r="B11" s="60"/>
      <c r="C11" s="23"/>
      <c r="D11" s="24">
        <v>12358.400000000001</v>
      </c>
      <c r="E11">
        <v>20587</v>
      </c>
      <c r="F11">
        <v>10349</v>
      </c>
      <c r="G11">
        <v>0</v>
      </c>
      <c r="H11">
        <v>0</v>
      </c>
      <c r="I11">
        <v>0</v>
      </c>
      <c r="J11" s="27">
        <v>0.11438261096583394</v>
      </c>
      <c r="K11" s="27">
        <v>0</v>
      </c>
      <c r="L11" s="27">
        <v>8.6869463059974353E-2</v>
      </c>
      <c r="N11" s="73"/>
      <c r="R11" s="49">
        <v>38829.4</v>
      </c>
      <c r="S11">
        <v>76430</v>
      </c>
      <c r="T11">
        <v>20352</v>
      </c>
      <c r="U11">
        <v>1583</v>
      </c>
      <c r="V11">
        <v>0</v>
      </c>
      <c r="W11">
        <v>583</v>
      </c>
      <c r="X11" s="27">
        <v>0.2611157837850181</v>
      </c>
      <c r="Z11" s="73"/>
      <c r="AD11" s="49">
        <v>19962.400000000001</v>
      </c>
      <c r="AE11">
        <v>37680</v>
      </c>
      <c r="AF11">
        <v>12226</v>
      </c>
      <c r="AG11">
        <v>12767</v>
      </c>
      <c r="AH11">
        <v>0</v>
      </c>
      <c r="AI11">
        <v>0</v>
      </c>
      <c r="AJ11" s="27">
        <v>0.18526802112497848</v>
      </c>
      <c r="AL11" s="73"/>
      <c r="AP11" s="49">
        <v>26347.599999999999</v>
      </c>
      <c r="AQ11">
        <v>43385</v>
      </c>
      <c r="AR11">
        <v>22484</v>
      </c>
      <c r="AS11">
        <v>19258</v>
      </c>
      <c r="AT11">
        <v>0</v>
      </c>
      <c r="AU11">
        <v>0</v>
      </c>
      <c r="AV11" s="27">
        <v>8.8299411060437344E-2</v>
      </c>
      <c r="AX11" s="73"/>
      <c r="BB11" s="49">
        <v>26732.800000000003</v>
      </c>
      <c r="BC11">
        <v>52173</v>
      </c>
      <c r="BD11">
        <v>14659</v>
      </c>
      <c r="BE11">
        <v>0</v>
      </c>
      <c r="BF11">
        <v>0</v>
      </c>
      <c r="BG11">
        <v>0</v>
      </c>
      <c r="BH11" s="27">
        <v>5.3190057588915575E-2</v>
      </c>
      <c r="BJ11" s="73"/>
      <c r="BN11" s="49">
        <v>38189.200000000004</v>
      </c>
      <c r="BO11">
        <v>80641</v>
      </c>
      <c r="BP11">
        <v>14832</v>
      </c>
      <c r="BQ11">
        <v>12177</v>
      </c>
      <c r="BR11">
        <v>0</v>
      </c>
      <c r="BS11">
        <v>0</v>
      </c>
      <c r="BT11" s="27">
        <v>6.5378384066802603E-2</v>
      </c>
      <c r="BV11" s="73"/>
      <c r="BZ11" s="49">
        <v>20584.400000000001</v>
      </c>
      <c r="CA11">
        <v>36723</v>
      </c>
      <c r="CB11">
        <v>14738</v>
      </c>
      <c r="CC11">
        <v>11299</v>
      </c>
      <c r="CD11">
        <v>0</v>
      </c>
      <c r="CE11">
        <v>0</v>
      </c>
      <c r="CF11" s="27">
        <v>3.5904641468783596E-2</v>
      </c>
      <c r="CH11" s="73"/>
      <c r="CL11" s="49">
        <v>15961.6</v>
      </c>
      <c r="CM11">
        <v>23731</v>
      </c>
      <c r="CN11">
        <v>16173</v>
      </c>
      <c r="CO11">
        <v>12698</v>
      </c>
      <c r="CP11">
        <v>0</v>
      </c>
      <c r="CQ11">
        <v>0</v>
      </c>
      <c r="CR11" s="27">
        <v>0.13903512557176148</v>
      </c>
      <c r="CT11" s="73"/>
      <c r="CV11" s="152"/>
      <c r="CW11" s="27">
        <v>0.11438261096583394</v>
      </c>
      <c r="CX11" s="27">
        <v>0</v>
      </c>
      <c r="CY11" s="152"/>
      <c r="CZ11" s="152"/>
      <c r="DA11" s="152"/>
      <c r="DB11" s="152"/>
      <c r="DC11" s="152"/>
      <c r="DD11" s="152"/>
    </row>
    <row r="12" spans="1:207" ht="14.4" hidden="1" customHeight="1" x14ac:dyDescent="0.3">
      <c r="A12" s="151"/>
      <c r="B12" s="60"/>
      <c r="C12" s="23"/>
      <c r="D12" s="24">
        <v>12426.400000000001</v>
      </c>
      <c r="E12">
        <v>20547</v>
      </c>
      <c r="F12">
        <v>10519</v>
      </c>
      <c r="G12">
        <v>0</v>
      </c>
      <c r="H12">
        <v>0</v>
      </c>
      <c r="I12">
        <v>0</v>
      </c>
      <c r="J12" s="27">
        <v>0.11318954713297422</v>
      </c>
      <c r="K12" s="27">
        <v>0</v>
      </c>
      <c r="L12" s="27">
        <v>8.1845117148535831E-2</v>
      </c>
      <c r="N12" s="73"/>
      <c r="R12" s="49">
        <v>38468</v>
      </c>
      <c r="S12">
        <v>75613</v>
      </c>
      <c r="T12">
        <v>20241</v>
      </c>
      <c r="U12">
        <v>1351</v>
      </c>
      <c r="V12">
        <v>0</v>
      </c>
      <c r="W12">
        <v>632</v>
      </c>
      <c r="X12" s="27">
        <v>0.26799286032341674</v>
      </c>
      <c r="Z12" s="73"/>
      <c r="AD12" s="49">
        <v>20154.400000000001</v>
      </c>
      <c r="AE12">
        <v>38132</v>
      </c>
      <c r="AF12">
        <v>12254</v>
      </c>
      <c r="AG12">
        <v>11641</v>
      </c>
      <c r="AH12">
        <v>0</v>
      </c>
      <c r="AI12">
        <v>0</v>
      </c>
      <c r="AJ12" s="27">
        <v>0.17743186214890327</v>
      </c>
      <c r="AL12" s="73"/>
      <c r="AP12" s="49">
        <v>26636.800000000003</v>
      </c>
      <c r="AQ12">
        <v>43986</v>
      </c>
      <c r="AR12">
        <v>22606</v>
      </c>
      <c r="AS12">
        <v>0</v>
      </c>
      <c r="AT12">
        <v>0</v>
      </c>
      <c r="AU12">
        <v>0</v>
      </c>
      <c r="AV12" s="27">
        <v>7.8292282884765724E-2</v>
      </c>
      <c r="AX12" s="73"/>
      <c r="BB12" s="49">
        <v>26586</v>
      </c>
      <c r="BC12">
        <v>51740</v>
      </c>
      <c r="BD12">
        <v>14725</v>
      </c>
      <c r="BE12">
        <v>0</v>
      </c>
      <c r="BF12">
        <v>0</v>
      </c>
      <c r="BG12">
        <v>0</v>
      </c>
      <c r="BH12" s="27">
        <v>5.8389352071571712E-2</v>
      </c>
      <c r="BJ12" s="73"/>
      <c r="BN12" s="49">
        <v>38260.800000000003</v>
      </c>
      <c r="BO12">
        <v>80809</v>
      </c>
      <c r="BP12">
        <v>14843</v>
      </c>
      <c r="BQ12">
        <v>408</v>
      </c>
      <c r="BR12">
        <v>0</v>
      </c>
      <c r="BS12">
        <v>0</v>
      </c>
      <c r="BT12" s="27">
        <v>6.3626084785832704E-2</v>
      </c>
      <c r="BV12" s="73"/>
      <c r="BZ12" s="49">
        <v>20584.400000000001</v>
      </c>
      <c r="CA12">
        <v>36723</v>
      </c>
      <c r="CB12">
        <v>14738</v>
      </c>
      <c r="CC12">
        <v>11299</v>
      </c>
      <c r="CD12">
        <v>0</v>
      </c>
      <c r="CE12">
        <v>0</v>
      </c>
      <c r="CF12" s="27">
        <v>3.5904641468783596E-2</v>
      </c>
      <c r="CH12" s="73"/>
      <c r="CL12" s="49">
        <v>15906.000000000002</v>
      </c>
      <c r="CM12">
        <v>23602</v>
      </c>
      <c r="CN12">
        <v>16163</v>
      </c>
      <c r="CO12">
        <v>9098</v>
      </c>
      <c r="CP12">
        <v>0</v>
      </c>
      <c r="CQ12">
        <v>0</v>
      </c>
      <c r="CR12" s="27">
        <v>0.14203417623198406</v>
      </c>
      <c r="CT12" s="73"/>
      <c r="CV12" s="152"/>
      <c r="CW12" s="27">
        <v>0.11318954713297422</v>
      </c>
      <c r="CX12" s="27">
        <v>0</v>
      </c>
      <c r="CY12" s="152"/>
      <c r="CZ12" s="152"/>
      <c r="DA12" s="152"/>
      <c r="DB12" s="152"/>
      <c r="DC12" s="152"/>
      <c r="DD12" s="152"/>
    </row>
    <row r="13" spans="1:207" ht="14.4" hidden="1" customHeight="1" x14ac:dyDescent="0.3">
      <c r="A13" s="151"/>
      <c r="B13" s="60"/>
      <c r="C13" s="23"/>
      <c r="D13" s="24">
        <v>12374.400000000001</v>
      </c>
      <c r="E13">
        <v>20587</v>
      </c>
      <c r="F13">
        <v>10349</v>
      </c>
      <c r="G13">
        <v>0</v>
      </c>
      <c r="H13">
        <v>0</v>
      </c>
      <c r="I13">
        <v>0</v>
      </c>
      <c r="J13" s="27">
        <v>0.11760403186344823</v>
      </c>
      <c r="K13" s="27">
        <v>0</v>
      </c>
      <c r="L13" s="27">
        <v>8.5687264021988813E-2</v>
      </c>
      <c r="N13" s="73"/>
      <c r="R13" s="49">
        <v>38538.000000000007</v>
      </c>
      <c r="S13">
        <v>75736</v>
      </c>
      <c r="T13">
        <v>20293</v>
      </c>
      <c r="U13">
        <v>1339</v>
      </c>
      <c r="V13">
        <v>0</v>
      </c>
      <c r="W13">
        <v>632</v>
      </c>
      <c r="X13" s="27">
        <v>0.26666083111011302</v>
      </c>
      <c r="Z13" s="73"/>
      <c r="AD13" s="49">
        <v>19962.400000000001</v>
      </c>
      <c r="AE13">
        <v>37680</v>
      </c>
      <c r="AF13">
        <v>12226</v>
      </c>
      <c r="AG13">
        <v>12767</v>
      </c>
      <c r="AH13">
        <v>0</v>
      </c>
      <c r="AI13">
        <v>0</v>
      </c>
      <c r="AJ13" s="27">
        <v>0.18526802112497848</v>
      </c>
      <c r="AL13" s="73"/>
      <c r="AP13" s="49">
        <v>26316.800000000003</v>
      </c>
      <c r="AQ13">
        <v>43293</v>
      </c>
      <c r="AR13">
        <v>22499</v>
      </c>
      <c r="AS13">
        <v>20210</v>
      </c>
      <c r="AT13">
        <v>0</v>
      </c>
      <c r="AU13">
        <v>0</v>
      </c>
      <c r="AV13" s="27">
        <v>8.9365177131705095E-2</v>
      </c>
      <c r="AX13" s="73"/>
      <c r="BB13" s="49">
        <v>26586</v>
      </c>
      <c r="BC13">
        <v>51740</v>
      </c>
      <c r="BD13">
        <v>14725</v>
      </c>
      <c r="BE13">
        <v>0</v>
      </c>
      <c r="BF13">
        <v>0</v>
      </c>
      <c r="BG13">
        <v>0</v>
      </c>
      <c r="BH13" s="27">
        <v>5.8389352071571712E-2</v>
      </c>
      <c r="BJ13" s="73"/>
      <c r="BN13" s="49">
        <v>38202</v>
      </c>
      <c r="BO13">
        <v>80673</v>
      </c>
      <c r="BP13">
        <v>14832</v>
      </c>
      <c r="BQ13">
        <v>12329</v>
      </c>
      <c r="BR13">
        <v>0</v>
      </c>
      <c r="BS13">
        <v>0</v>
      </c>
      <c r="BT13" s="27">
        <v>6.5065123860148857E-2</v>
      </c>
      <c r="BV13" s="73"/>
      <c r="BZ13" s="49">
        <v>20652.400000000001</v>
      </c>
      <c r="CA13">
        <v>36886</v>
      </c>
      <c r="CB13">
        <v>14745</v>
      </c>
      <c r="CC13">
        <v>11292</v>
      </c>
      <c r="CD13">
        <v>0</v>
      </c>
      <c r="CE13">
        <v>0</v>
      </c>
      <c r="CF13" s="27">
        <v>3.271977893307098E-2</v>
      </c>
      <c r="CH13" s="73"/>
      <c r="CL13" s="49">
        <v>15616</v>
      </c>
      <c r="CM13">
        <v>22911</v>
      </c>
      <c r="CN13">
        <v>16129</v>
      </c>
      <c r="CO13">
        <v>7930</v>
      </c>
      <c r="CP13">
        <v>0</v>
      </c>
      <c r="CQ13">
        <v>0</v>
      </c>
      <c r="CR13" s="27">
        <v>0.15767670665400885</v>
      </c>
      <c r="CT13" s="73"/>
      <c r="CV13" s="152"/>
      <c r="CW13" s="27">
        <v>0.11760403186344823</v>
      </c>
      <c r="CX13" s="27">
        <v>0</v>
      </c>
      <c r="CY13" s="152"/>
      <c r="CZ13" s="152"/>
      <c r="DA13" s="152"/>
      <c r="DB13" s="152"/>
      <c r="DC13" s="152"/>
      <c r="DD13" s="152"/>
    </row>
    <row r="14" spans="1:207" s="55" customFormat="1" x14ac:dyDescent="0.3">
      <c r="A14" s="52" t="s">
        <v>50</v>
      </c>
      <c r="B14" s="53" t="s">
        <v>42</v>
      </c>
      <c r="C14" s="53">
        <v>22829</v>
      </c>
      <c r="D14" s="54">
        <v>12653.2</v>
      </c>
      <c r="E14" s="55">
        <v>21158.2</v>
      </c>
      <c r="F14" s="55">
        <v>10474.799999999999</v>
      </c>
      <c r="G14" s="55">
        <v>0</v>
      </c>
      <c r="H14" s="55">
        <v>0</v>
      </c>
      <c r="I14" s="55">
        <v>0</v>
      </c>
      <c r="J14" s="27">
        <v>0.11285712987168857</v>
      </c>
      <c r="K14" s="27">
        <v>5.2656226974235618E-3</v>
      </c>
      <c r="L14" s="27">
        <v>6.5108168814280568E-2</v>
      </c>
      <c r="M14" s="27">
        <v>1.5692982586720878E-2</v>
      </c>
      <c r="N14" s="73">
        <v>9.8909282053528405E-2</v>
      </c>
      <c r="O14" s="27" t="e">
        <v>#DIV/0!</v>
      </c>
      <c r="P14" s="65">
        <v>52551.4</v>
      </c>
      <c r="Q14" s="26">
        <v>81057</v>
      </c>
      <c r="R14" s="49">
        <v>38529</v>
      </c>
      <c r="S14">
        <v>75660.800000000003</v>
      </c>
      <c r="T14">
        <v>20320</v>
      </c>
      <c r="U14">
        <v>1271.4000000000001</v>
      </c>
      <c r="V14">
        <v>0</v>
      </c>
      <c r="W14">
        <v>683.4</v>
      </c>
      <c r="X14" s="27">
        <v>0.26683209200896646</v>
      </c>
      <c r="Y14" s="27">
        <v>4.8932325874067161E-3</v>
      </c>
      <c r="Z14" s="73">
        <v>6.6572905486262712E-2</v>
      </c>
      <c r="AA14" s="27" t="e">
        <v>#DIV/0!</v>
      </c>
      <c r="AB14" s="63">
        <v>24501.8</v>
      </c>
      <c r="AC14">
        <v>48120</v>
      </c>
      <c r="AD14" s="49">
        <v>20040.640000000003</v>
      </c>
      <c r="AE14">
        <v>37864.400000000001</v>
      </c>
      <c r="AF14">
        <v>12237.2</v>
      </c>
      <c r="AG14">
        <v>12470.6</v>
      </c>
      <c r="AH14">
        <v>0</v>
      </c>
      <c r="AI14">
        <v>0</v>
      </c>
      <c r="AJ14" s="27">
        <v>0.18207478634222776</v>
      </c>
      <c r="AK14" s="27">
        <v>4.3737509215874418E-3</v>
      </c>
      <c r="AL14" s="73">
        <v>0.21312551953449707</v>
      </c>
      <c r="AM14" s="27" t="e">
        <v>#DIV/0!</v>
      </c>
      <c r="AN14" s="65">
        <v>28899.4</v>
      </c>
      <c r="AO14">
        <v>48676</v>
      </c>
      <c r="AP14" s="49">
        <v>26453.120000000003</v>
      </c>
      <c r="AQ14">
        <v>43596</v>
      </c>
      <c r="AR14">
        <v>22536.799999999999</v>
      </c>
      <c r="AS14">
        <v>16773.8</v>
      </c>
      <c r="AT14">
        <v>0</v>
      </c>
      <c r="AU14">
        <v>0</v>
      </c>
      <c r="AV14" s="27">
        <v>8.464812418250893E-2</v>
      </c>
      <c r="AW14" s="27">
        <v>5.8146484846061872E-3</v>
      </c>
      <c r="AX14" s="73">
        <v>0.10436354671706796</v>
      </c>
      <c r="AY14" s="27" t="e">
        <v>#DIV/0!</v>
      </c>
      <c r="AZ14" s="65">
        <v>28234.6</v>
      </c>
      <c r="BA14">
        <v>55474</v>
      </c>
      <c r="BB14" s="49">
        <v>26645.52</v>
      </c>
      <c r="BC14">
        <v>51921</v>
      </c>
      <c r="BD14">
        <v>14692.8</v>
      </c>
      <c r="BE14">
        <v>0</v>
      </c>
      <c r="BF14">
        <v>0</v>
      </c>
      <c r="BG14">
        <v>0</v>
      </c>
      <c r="BH14" s="27">
        <v>5.6414978079649777E-2</v>
      </c>
      <c r="BI14" s="84">
        <v>1.1679888527203999E-3</v>
      </c>
      <c r="BJ14" s="73">
        <v>6.4188628907235881E-2</v>
      </c>
      <c r="BK14" s="27" t="e">
        <v>#DIV/0!</v>
      </c>
      <c r="BL14" s="65">
        <v>40860.6</v>
      </c>
      <c r="BM14">
        <v>86423</v>
      </c>
      <c r="BN14" s="49">
        <v>38220.400000000001</v>
      </c>
      <c r="BO14">
        <v>80714.600000000006</v>
      </c>
      <c r="BP14">
        <v>14836.4</v>
      </c>
      <c r="BQ14">
        <v>9988.2000000000007</v>
      </c>
      <c r="BR14">
        <v>0</v>
      </c>
      <c r="BS14">
        <v>0</v>
      </c>
      <c r="BT14" s="27">
        <v>6.4614812313083927E-2</v>
      </c>
      <c r="BU14" s="27">
        <v>9.1159590579689915E-4</v>
      </c>
      <c r="BV14" s="73">
        <v>6.6051861194357922E-2</v>
      </c>
      <c r="BW14" s="27" t="e">
        <v>#DIV/0!</v>
      </c>
      <c r="BX14" s="65">
        <v>21351</v>
      </c>
      <c r="BY14">
        <v>38534</v>
      </c>
      <c r="BZ14" s="49">
        <v>20589.2</v>
      </c>
      <c r="CA14">
        <v>36734.400000000001</v>
      </c>
      <c r="CB14">
        <v>14738.6</v>
      </c>
      <c r="CC14">
        <v>11298.4</v>
      </c>
      <c r="CD14">
        <v>0</v>
      </c>
      <c r="CE14">
        <v>0</v>
      </c>
      <c r="CF14" s="27">
        <v>3.5679827642733329E-2</v>
      </c>
      <c r="CG14" s="27">
        <v>1.8799941854604815E-3</v>
      </c>
      <c r="CH14" s="73">
        <v>4.670161415892455E-2</v>
      </c>
      <c r="CI14" s="27" t="e">
        <v>#DIV/0!</v>
      </c>
      <c r="CJ14" s="63">
        <v>18539.2</v>
      </c>
      <c r="CK14">
        <v>28067</v>
      </c>
      <c r="CL14" s="49">
        <v>15804.960000000001</v>
      </c>
      <c r="CM14">
        <v>23360.6</v>
      </c>
      <c r="CN14">
        <v>16151.8</v>
      </c>
      <c r="CO14">
        <v>10010.4</v>
      </c>
      <c r="CP14">
        <v>0</v>
      </c>
      <c r="CQ14">
        <v>0</v>
      </c>
      <c r="CR14" s="27">
        <v>0.14748424959005779</v>
      </c>
      <c r="CS14" s="27">
        <v>7.3907880550894882E-3</v>
      </c>
      <c r="CT14" s="73">
        <v>0.16768446930559025</v>
      </c>
      <c r="CU14" s="27" t="e">
        <v>#DIV/0!</v>
      </c>
      <c r="CV14"/>
      <c r="CW14" s="27">
        <v>0.11285712987168857</v>
      </c>
      <c r="CX14" s="27">
        <v>5.2656226974235618E-3</v>
      </c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GV14" s="55" t="e">
        <v>#DIV/0!</v>
      </c>
      <c r="GW14" s="55" t="e">
        <v>#DIV/0!</v>
      </c>
      <c r="GX14" s="55" t="e">
        <v>#DIV/0!</v>
      </c>
      <c r="GY14" s="55" t="e">
        <v>#DIV/0!</v>
      </c>
    </row>
    <row r="15" spans="1:207" ht="14.4" hidden="1" customHeight="1" x14ac:dyDescent="0.3">
      <c r="A15" s="151" t="s">
        <v>51</v>
      </c>
      <c r="B15" s="60"/>
      <c r="C15" s="23"/>
      <c r="D15" s="24">
        <v>12755.600000000002</v>
      </c>
      <c r="E15">
        <v>21477</v>
      </c>
      <c r="F15">
        <v>10412</v>
      </c>
      <c r="G15">
        <v>0</v>
      </c>
      <c r="H15">
        <v>0</v>
      </c>
      <c r="I15">
        <v>0</v>
      </c>
      <c r="J15" s="27">
        <v>0.11239584589481383</v>
      </c>
      <c r="K15" s="27">
        <v>0</v>
      </c>
      <c r="L15" s="27">
        <v>5.7528335623826934E-2</v>
      </c>
      <c r="N15" s="73"/>
      <c r="R15" s="49">
        <v>38059.199999999997</v>
      </c>
      <c r="S15">
        <v>74469</v>
      </c>
      <c r="T15">
        <v>20156</v>
      </c>
      <c r="U15">
        <v>312</v>
      </c>
      <c r="V15">
        <v>0</v>
      </c>
      <c r="W15">
        <v>1046</v>
      </c>
      <c r="X15" s="27">
        <v>0.27578569199503739</v>
      </c>
      <c r="Z15" s="73"/>
      <c r="AD15" s="49">
        <v>20161.599999999999</v>
      </c>
      <c r="AE15">
        <v>38150</v>
      </c>
      <c r="AF15">
        <v>12254</v>
      </c>
      <c r="AG15">
        <v>13605</v>
      </c>
      <c r="AH15">
        <v>0</v>
      </c>
      <c r="AI15">
        <v>0</v>
      </c>
      <c r="AJ15" s="27">
        <v>0.17717158855314499</v>
      </c>
      <c r="AL15" s="73"/>
      <c r="AP15" s="49">
        <v>26636.800000000003</v>
      </c>
      <c r="AQ15">
        <v>43986</v>
      </c>
      <c r="AR15">
        <v>22606</v>
      </c>
      <c r="AS15">
        <v>25143</v>
      </c>
      <c r="AT15">
        <v>0</v>
      </c>
      <c r="AU15">
        <v>0</v>
      </c>
      <c r="AV15" s="27">
        <v>7.8324175443938437E-2</v>
      </c>
      <c r="AX15" s="73"/>
      <c r="BB15" s="49">
        <v>26586</v>
      </c>
      <c r="BC15">
        <v>51740</v>
      </c>
      <c r="BD15">
        <v>14725</v>
      </c>
      <c r="BE15">
        <v>0</v>
      </c>
      <c r="BF15">
        <v>0</v>
      </c>
      <c r="BG15">
        <v>0</v>
      </c>
      <c r="BH15" s="27">
        <v>5.8422700420745391E-2</v>
      </c>
      <c r="BJ15" s="73"/>
      <c r="BN15" s="49">
        <v>38212.800000000003</v>
      </c>
      <c r="BO15">
        <v>80694</v>
      </c>
      <c r="BP15">
        <v>14838</v>
      </c>
      <c r="BQ15">
        <v>12276</v>
      </c>
      <c r="BR15">
        <v>0</v>
      </c>
      <c r="BS15">
        <v>0</v>
      </c>
      <c r="BT15" s="27">
        <v>6.4823697554672252E-2</v>
      </c>
      <c r="BV15" s="73"/>
      <c r="BZ15" s="49">
        <v>20584.400000000001</v>
      </c>
      <c r="CA15">
        <v>36723</v>
      </c>
      <c r="CB15">
        <v>14738</v>
      </c>
      <c r="CC15">
        <v>11299</v>
      </c>
      <c r="CD15">
        <v>0</v>
      </c>
      <c r="CE15">
        <v>0</v>
      </c>
      <c r="CF15" s="27">
        <v>3.5949793930310912E-2</v>
      </c>
      <c r="CH15" s="73"/>
      <c r="CL15" s="49">
        <v>15736.800000000001</v>
      </c>
      <c r="CM15">
        <v>23199</v>
      </c>
      <c r="CN15">
        <v>16143</v>
      </c>
      <c r="CO15">
        <v>10167</v>
      </c>
      <c r="CP15">
        <v>0</v>
      </c>
      <c r="CQ15">
        <v>0</v>
      </c>
      <c r="CR15" s="27">
        <v>0.15116078363683436</v>
      </c>
      <c r="CT15" s="73"/>
      <c r="CV15" s="152"/>
      <c r="CW15" s="27">
        <v>0.11239584589481383</v>
      </c>
      <c r="CX15" s="27">
        <v>0</v>
      </c>
      <c r="CY15" s="152"/>
      <c r="CZ15" s="152"/>
      <c r="DA15" s="152"/>
      <c r="DB15" s="152"/>
      <c r="DC15" s="152"/>
      <c r="DD15" s="152"/>
    </row>
    <row r="16" spans="1:207" ht="14.4" hidden="1" customHeight="1" x14ac:dyDescent="0.3">
      <c r="A16" s="151"/>
      <c r="B16" s="60"/>
      <c r="C16" s="23"/>
      <c r="D16" s="24">
        <v>12442</v>
      </c>
      <c r="E16">
        <v>20555</v>
      </c>
      <c r="F16">
        <v>10550</v>
      </c>
      <c r="G16">
        <v>0</v>
      </c>
      <c r="H16">
        <v>0</v>
      </c>
      <c r="I16">
        <v>0</v>
      </c>
      <c r="J16" s="27">
        <v>0.11307143015116386</v>
      </c>
      <c r="K16" s="27">
        <v>0</v>
      </c>
      <c r="L16" s="27">
        <v>8.0699265564274258E-2</v>
      </c>
      <c r="N16" s="73"/>
      <c r="R16" s="49">
        <v>39022.000000000007</v>
      </c>
      <c r="S16">
        <v>77067</v>
      </c>
      <c r="T16">
        <v>20212</v>
      </c>
      <c r="U16">
        <v>1706</v>
      </c>
      <c r="V16">
        <v>0</v>
      </c>
      <c r="W16">
        <v>552</v>
      </c>
      <c r="X16" s="27">
        <v>0.25746493024105455</v>
      </c>
      <c r="Z16" s="73"/>
      <c r="AD16" s="49">
        <v>20047.2</v>
      </c>
      <c r="AE16">
        <v>37852</v>
      </c>
      <c r="AF16">
        <v>12266</v>
      </c>
      <c r="AG16">
        <v>12279</v>
      </c>
      <c r="AH16">
        <v>0</v>
      </c>
      <c r="AI16">
        <v>0</v>
      </c>
      <c r="AJ16" s="27">
        <v>0.18184044272491301</v>
      </c>
      <c r="AL16" s="73"/>
      <c r="AP16" s="49">
        <v>26536.400000000001</v>
      </c>
      <c r="AQ16">
        <v>43770</v>
      </c>
      <c r="AR16">
        <v>22571</v>
      </c>
      <c r="AS16">
        <v>0</v>
      </c>
      <c r="AT16">
        <v>0</v>
      </c>
      <c r="AU16">
        <v>0</v>
      </c>
      <c r="AV16" s="27">
        <v>8.1798175803795101E-2</v>
      </c>
      <c r="AX16" s="73"/>
      <c r="BB16" s="49">
        <v>26716.800000000003</v>
      </c>
      <c r="BC16">
        <v>52108</v>
      </c>
      <c r="BD16">
        <v>14684</v>
      </c>
      <c r="BE16">
        <v>0</v>
      </c>
      <c r="BF16">
        <v>0</v>
      </c>
      <c r="BG16">
        <v>0</v>
      </c>
      <c r="BH16" s="27">
        <v>5.3790250605618289E-2</v>
      </c>
      <c r="BJ16" s="73"/>
      <c r="BN16" s="49">
        <v>38212.800000000003</v>
      </c>
      <c r="BO16">
        <v>80694</v>
      </c>
      <c r="BP16">
        <v>14838</v>
      </c>
      <c r="BQ16">
        <v>12293</v>
      </c>
      <c r="BR16">
        <v>0</v>
      </c>
      <c r="BS16">
        <v>0</v>
      </c>
      <c r="BT16" s="27">
        <v>6.4823697554672252E-2</v>
      </c>
      <c r="BV16" s="73"/>
      <c r="BZ16" s="49">
        <v>20584.400000000001</v>
      </c>
      <c r="CA16">
        <v>36723</v>
      </c>
      <c r="CB16">
        <v>14738</v>
      </c>
      <c r="CC16">
        <v>11299</v>
      </c>
      <c r="CD16">
        <v>0</v>
      </c>
      <c r="CE16">
        <v>0</v>
      </c>
      <c r="CF16" s="27">
        <v>3.5949793930310912E-2</v>
      </c>
      <c r="CH16" s="73"/>
      <c r="CL16" s="49">
        <v>15791.6</v>
      </c>
      <c r="CM16">
        <v>23329</v>
      </c>
      <c r="CN16">
        <v>16150</v>
      </c>
      <c r="CO16">
        <v>10160</v>
      </c>
      <c r="CP16">
        <v>0</v>
      </c>
      <c r="CQ16">
        <v>0</v>
      </c>
      <c r="CR16" s="27">
        <v>0.1482048847846725</v>
      </c>
      <c r="CT16" s="73"/>
      <c r="CV16" s="152"/>
      <c r="CW16" s="27">
        <v>0.11307143015116386</v>
      </c>
      <c r="CX16" s="27">
        <v>0</v>
      </c>
      <c r="CY16" s="152"/>
      <c r="CZ16" s="152"/>
      <c r="DA16" s="152"/>
      <c r="DB16" s="152"/>
      <c r="DC16" s="152"/>
      <c r="DD16" s="152"/>
    </row>
    <row r="17" spans="1:207" ht="14.4" hidden="1" customHeight="1" x14ac:dyDescent="0.3">
      <c r="A17" s="151"/>
      <c r="B17" s="60"/>
      <c r="C17" s="23"/>
      <c r="D17" s="24">
        <v>12426.400000000001</v>
      </c>
      <c r="E17">
        <v>20547</v>
      </c>
      <c r="F17">
        <v>10519</v>
      </c>
      <c r="G17">
        <v>0</v>
      </c>
      <c r="H17">
        <v>0</v>
      </c>
      <c r="I17">
        <v>0</v>
      </c>
      <c r="J17" s="27">
        <v>0.11412384572975334</v>
      </c>
      <c r="K17" s="27">
        <v>0</v>
      </c>
      <c r="L17" s="27">
        <v>8.1851901109781092E-2</v>
      </c>
      <c r="N17" s="73"/>
      <c r="R17" s="49">
        <v>38725.200000000004</v>
      </c>
      <c r="S17">
        <v>76253</v>
      </c>
      <c r="T17">
        <v>20273</v>
      </c>
      <c r="U17">
        <v>778</v>
      </c>
      <c r="V17">
        <v>0</v>
      </c>
      <c r="W17">
        <v>574</v>
      </c>
      <c r="X17" s="27">
        <v>0.26311262663551038</v>
      </c>
      <c r="Z17" s="73"/>
      <c r="AD17" s="49">
        <v>20161.599999999999</v>
      </c>
      <c r="AE17">
        <v>38150</v>
      </c>
      <c r="AF17">
        <v>12254</v>
      </c>
      <c r="AG17">
        <v>13509</v>
      </c>
      <c r="AH17">
        <v>0</v>
      </c>
      <c r="AI17">
        <v>0</v>
      </c>
      <c r="AJ17" s="27">
        <v>0.17717158855314499</v>
      </c>
      <c r="AL17" s="73"/>
      <c r="AP17" s="49">
        <v>26609.599999999999</v>
      </c>
      <c r="AQ17">
        <v>43918</v>
      </c>
      <c r="AR17">
        <v>22606</v>
      </c>
      <c r="AS17">
        <v>16033</v>
      </c>
      <c r="AT17">
        <v>0</v>
      </c>
      <c r="AU17">
        <v>0</v>
      </c>
      <c r="AV17" s="27">
        <v>7.9265338888043171E-2</v>
      </c>
      <c r="AX17" s="73"/>
      <c r="BB17" s="49">
        <v>26586</v>
      </c>
      <c r="BC17">
        <v>51740</v>
      </c>
      <c r="BD17">
        <v>14725</v>
      </c>
      <c r="BE17">
        <v>0</v>
      </c>
      <c r="BF17">
        <v>0</v>
      </c>
      <c r="BG17">
        <v>0</v>
      </c>
      <c r="BH17" s="27">
        <v>5.8422700420745391E-2</v>
      </c>
      <c r="BJ17" s="73"/>
      <c r="BN17" s="49">
        <v>38189.200000000004</v>
      </c>
      <c r="BO17">
        <v>80641</v>
      </c>
      <c r="BP17">
        <v>14832</v>
      </c>
      <c r="BQ17">
        <v>12121</v>
      </c>
      <c r="BR17">
        <v>0</v>
      </c>
      <c r="BS17">
        <v>0</v>
      </c>
      <c r="BT17" s="27">
        <v>6.5401256925817747E-2</v>
      </c>
      <c r="BV17" s="73"/>
      <c r="BZ17" s="49">
        <v>20530.8</v>
      </c>
      <c r="CA17">
        <v>36595</v>
      </c>
      <c r="CB17">
        <v>14732</v>
      </c>
      <c r="CC17">
        <v>11305</v>
      </c>
      <c r="CD17">
        <v>0</v>
      </c>
      <c r="CE17">
        <v>0</v>
      </c>
      <c r="CF17" s="27">
        <v>3.8460097414762119E-2</v>
      </c>
      <c r="CH17" s="73"/>
      <c r="CL17" s="49">
        <v>15771.2</v>
      </c>
      <c r="CM17">
        <v>23281</v>
      </c>
      <c r="CN17">
        <v>16147</v>
      </c>
      <c r="CO17">
        <v>9764</v>
      </c>
      <c r="CP17">
        <v>0</v>
      </c>
      <c r="CQ17">
        <v>0</v>
      </c>
      <c r="CR17" s="27">
        <v>0.14930525589022178</v>
      </c>
      <c r="CT17" s="73"/>
      <c r="CV17" s="152"/>
      <c r="CW17" s="27">
        <v>0.11412384572975334</v>
      </c>
      <c r="CX17" s="27">
        <v>0</v>
      </c>
      <c r="CY17" s="152"/>
      <c r="CZ17" s="152"/>
      <c r="DA17" s="152"/>
      <c r="DB17" s="152"/>
      <c r="DC17" s="152"/>
      <c r="DD17" s="152"/>
    </row>
    <row r="18" spans="1:207" ht="14.4" hidden="1" customHeight="1" x14ac:dyDescent="0.3">
      <c r="A18" s="151"/>
      <c r="B18" s="60"/>
      <c r="C18" s="23"/>
      <c r="D18" s="24">
        <v>12426.400000000001</v>
      </c>
      <c r="E18">
        <v>20547</v>
      </c>
      <c r="F18">
        <v>10519</v>
      </c>
      <c r="G18">
        <v>0</v>
      </c>
      <c r="H18">
        <v>0</v>
      </c>
      <c r="I18">
        <v>0</v>
      </c>
      <c r="J18" s="27">
        <v>0.11542374061314349</v>
      </c>
      <c r="K18" s="27">
        <v>0</v>
      </c>
      <c r="L18" s="27">
        <v>8.1851901109781092E-2</v>
      </c>
      <c r="N18" s="73"/>
      <c r="R18" s="49">
        <v>38418</v>
      </c>
      <c r="S18">
        <v>75623</v>
      </c>
      <c r="T18">
        <v>20306</v>
      </c>
      <c r="U18">
        <v>1883</v>
      </c>
      <c r="V18">
        <v>0</v>
      </c>
      <c r="W18">
        <v>232</v>
      </c>
      <c r="X18" s="27">
        <v>0.26895822074729225</v>
      </c>
      <c r="Z18" s="73"/>
      <c r="AD18" s="49">
        <v>20161.599999999999</v>
      </c>
      <c r="AE18">
        <v>38150</v>
      </c>
      <c r="AF18">
        <v>12254</v>
      </c>
      <c r="AG18">
        <v>11141</v>
      </c>
      <c r="AH18">
        <v>0</v>
      </c>
      <c r="AI18">
        <v>0</v>
      </c>
      <c r="AJ18" s="27">
        <v>0.17717158855314499</v>
      </c>
      <c r="AL18" s="73"/>
      <c r="AP18" s="49">
        <v>26287.599999999999</v>
      </c>
      <c r="AQ18">
        <v>43235</v>
      </c>
      <c r="AR18">
        <v>22484</v>
      </c>
      <c r="AS18">
        <v>20267</v>
      </c>
      <c r="AT18">
        <v>0</v>
      </c>
      <c r="AU18">
        <v>0</v>
      </c>
      <c r="AV18" s="27">
        <v>9.0407053189575329E-2</v>
      </c>
      <c r="AX18" s="73"/>
      <c r="BB18" s="49">
        <v>26586</v>
      </c>
      <c r="BC18">
        <v>51740</v>
      </c>
      <c r="BD18">
        <v>14725</v>
      </c>
      <c r="BE18">
        <v>0</v>
      </c>
      <c r="BF18">
        <v>0</v>
      </c>
      <c r="BG18">
        <v>0</v>
      </c>
      <c r="BH18" s="27">
        <v>5.8422700420745391E-2</v>
      </c>
      <c r="BJ18" s="73"/>
      <c r="BN18" s="49">
        <v>38189.200000000004</v>
      </c>
      <c r="BO18">
        <v>80641</v>
      </c>
      <c r="BP18">
        <v>14832</v>
      </c>
      <c r="BQ18">
        <v>11982</v>
      </c>
      <c r="BR18">
        <v>0</v>
      </c>
      <c r="BS18">
        <v>0</v>
      </c>
      <c r="BT18" s="27">
        <v>6.5401256925817747E-2</v>
      </c>
      <c r="BV18" s="73"/>
      <c r="BZ18" s="49">
        <v>20584.400000000001</v>
      </c>
      <c r="CA18">
        <v>36723</v>
      </c>
      <c r="CB18">
        <v>14738</v>
      </c>
      <c r="CC18">
        <v>11299</v>
      </c>
      <c r="CD18">
        <v>0</v>
      </c>
      <c r="CE18">
        <v>0</v>
      </c>
      <c r="CF18" s="27">
        <v>3.5949793930310912E-2</v>
      </c>
      <c r="CH18" s="73"/>
      <c r="CL18" s="49">
        <v>15846.800000000001</v>
      </c>
      <c r="CM18">
        <v>23459</v>
      </c>
      <c r="CN18">
        <v>16158</v>
      </c>
      <c r="CO18">
        <v>10154</v>
      </c>
      <c r="CP18">
        <v>0</v>
      </c>
      <c r="CQ18">
        <v>0</v>
      </c>
      <c r="CR18" s="27">
        <v>0.14522741002848016</v>
      </c>
      <c r="CT18" s="73"/>
      <c r="CV18" s="152"/>
      <c r="CW18" s="27">
        <v>0.11542374061314349</v>
      </c>
      <c r="CX18" s="27">
        <v>0</v>
      </c>
      <c r="CY18" s="152"/>
      <c r="CZ18" s="152"/>
      <c r="DA18" s="152"/>
      <c r="DB18" s="152"/>
      <c r="DC18" s="152"/>
      <c r="DD18" s="152"/>
    </row>
    <row r="19" spans="1:207" ht="14.4" hidden="1" customHeight="1" x14ac:dyDescent="0.3">
      <c r="A19" s="151"/>
      <c r="B19" s="60"/>
      <c r="C19" s="23"/>
      <c r="D19" s="24">
        <v>12442.8</v>
      </c>
      <c r="E19">
        <v>20581</v>
      </c>
      <c r="F19">
        <v>10526</v>
      </c>
      <c r="G19">
        <v>0</v>
      </c>
      <c r="H19">
        <v>0</v>
      </c>
      <c r="I19">
        <v>0</v>
      </c>
      <c r="J19" s="27">
        <v>0.11523214043046158</v>
      </c>
      <c r="K19" s="27">
        <v>0</v>
      </c>
      <c r="L19" s="27">
        <v>8.0640156049120115E-2</v>
      </c>
      <c r="N19" s="73"/>
      <c r="R19" s="49">
        <v>38365.599999999999</v>
      </c>
      <c r="S19">
        <v>75135</v>
      </c>
      <c r="T19">
        <v>20278</v>
      </c>
      <c r="U19">
        <v>42</v>
      </c>
      <c r="V19">
        <v>0</v>
      </c>
      <c r="W19">
        <v>1002</v>
      </c>
      <c r="X19" s="27">
        <v>0.26995532078458839</v>
      </c>
      <c r="Z19" s="73"/>
      <c r="AD19" s="49">
        <v>20075.2</v>
      </c>
      <c r="AE19">
        <v>37944</v>
      </c>
      <c r="AF19">
        <v>12244</v>
      </c>
      <c r="AG19">
        <v>12881</v>
      </c>
      <c r="AH19">
        <v>0</v>
      </c>
      <c r="AI19">
        <v>0</v>
      </c>
      <c r="AJ19" s="27">
        <v>0.18069771617937536</v>
      </c>
      <c r="AL19" s="73"/>
      <c r="AP19" s="49">
        <v>26536.400000000001</v>
      </c>
      <c r="AQ19">
        <v>43770</v>
      </c>
      <c r="AR19">
        <v>22571</v>
      </c>
      <c r="AS19">
        <v>0</v>
      </c>
      <c r="AT19">
        <v>0</v>
      </c>
      <c r="AU19">
        <v>0</v>
      </c>
      <c r="AV19" s="27">
        <v>8.1798175803795101E-2</v>
      </c>
      <c r="AX19" s="73"/>
      <c r="BB19" s="49">
        <v>26586</v>
      </c>
      <c r="BC19">
        <v>51740</v>
      </c>
      <c r="BD19">
        <v>14725</v>
      </c>
      <c r="BE19">
        <v>0</v>
      </c>
      <c r="BF19">
        <v>0</v>
      </c>
      <c r="BG19">
        <v>0</v>
      </c>
      <c r="BH19" s="27">
        <v>5.8422700420745391E-2</v>
      </c>
      <c r="BJ19" s="73"/>
      <c r="BN19" s="49">
        <v>38202</v>
      </c>
      <c r="BO19">
        <v>80673</v>
      </c>
      <c r="BP19">
        <v>14832</v>
      </c>
      <c r="BQ19">
        <v>12211</v>
      </c>
      <c r="BR19">
        <v>0</v>
      </c>
      <c r="BS19">
        <v>0</v>
      </c>
      <c r="BT19" s="27">
        <v>6.5088004385535525E-2</v>
      </c>
      <c r="BV19" s="73"/>
      <c r="BZ19" s="49">
        <v>20584.400000000001</v>
      </c>
      <c r="CA19">
        <v>36723</v>
      </c>
      <c r="CB19">
        <v>14738</v>
      </c>
      <c r="CC19">
        <v>11299</v>
      </c>
      <c r="CD19">
        <v>0</v>
      </c>
      <c r="CE19">
        <v>0</v>
      </c>
      <c r="CF19" s="27">
        <v>3.5949793930310912E-2</v>
      </c>
      <c r="CH19" s="73"/>
      <c r="CL19" s="49">
        <v>15771.2</v>
      </c>
      <c r="CM19">
        <v>23281</v>
      </c>
      <c r="CN19">
        <v>16147</v>
      </c>
      <c r="CO19">
        <v>9764</v>
      </c>
      <c r="CP19">
        <v>0</v>
      </c>
      <c r="CQ19">
        <v>0</v>
      </c>
      <c r="CR19" s="27">
        <v>0.14930525589022178</v>
      </c>
      <c r="CT19" s="73"/>
      <c r="CV19" s="152"/>
      <c r="CW19" s="27">
        <v>0.11523214043046158</v>
      </c>
      <c r="CX19" s="27">
        <v>0</v>
      </c>
      <c r="CY19" s="152"/>
      <c r="CZ19" s="152"/>
      <c r="DA19" s="152"/>
      <c r="DB19" s="152"/>
      <c r="DC19" s="152"/>
      <c r="DD19" s="152"/>
    </row>
    <row r="20" spans="1:207" s="55" customFormat="1" x14ac:dyDescent="0.3">
      <c r="A20" s="52" t="s">
        <v>51</v>
      </c>
      <c r="B20" s="53" t="s">
        <v>43</v>
      </c>
      <c r="C20" s="53">
        <v>22829</v>
      </c>
      <c r="D20" s="69">
        <v>12498.64</v>
      </c>
      <c r="E20" s="70">
        <v>20741.400000000001</v>
      </c>
      <c r="F20" s="70">
        <v>10505.2</v>
      </c>
      <c r="G20" s="70">
        <v>0</v>
      </c>
      <c r="H20" s="70">
        <v>0</v>
      </c>
      <c r="I20" s="70">
        <v>0</v>
      </c>
      <c r="J20" s="27">
        <v>0.11404940056386727</v>
      </c>
      <c r="K20" s="84">
        <v>3.7936645325192006E-3</v>
      </c>
      <c r="L20" s="27">
        <v>7.6514311891356809E-2</v>
      </c>
      <c r="M20" s="84">
        <v>1.0629951074900402E-2</v>
      </c>
      <c r="N20" s="73">
        <v>9.1445091769240816E-2</v>
      </c>
      <c r="O20" s="27" t="e">
        <v>#DIV/0!</v>
      </c>
      <c r="P20" s="65">
        <v>52552.4</v>
      </c>
      <c r="Q20" s="26">
        <v>81057</v>
      </c>
      <c r="R20" s="49">
        <v>38518.000000000007</v>
      </c>
      <c r="S20">
        <v>75709.399999999994</v>
      </c>
      <c r="T20">
        <v>20245</v>
      </c>
      <c r="U20">
        <v>944.2</v>
      </c>
      <c r="V20">
        <v>0</v>
      </c>
      <c r="W20">
        <v>681.2</v>
      </c>
      <c r="X20" s="27">
        <v>0.26705535808069647</v>
      </c>
      <c r="Y20" s="27">
        <v>6.9959066185880676E-3</v>
      </c>
      <c r="Z20" s="73">
        <v>6.5973327411574648E-2</v>
      </c>
      <c r="AA20" s="27" t="e">
        <v>#DIV/0!</v>
      </c>
      <c r="AB20" s="63">
        <v>24502.799999999999</v>
      </c>
      <c r="AC20">
        <v>48120</v>
      </c>
      <c r="AD20" s="49">
        <v>20121.439999999999</v>
      </c>
      <c r="AE20">
        <v>38049.199999999997</v>
      </c>
      <c r="AF20">
        <v>12254.4</v>
      </c>
      <c r="AG20">
        <v>12683</v>
      </c>
      <c r="AH20">
        <v>0</v>
      </c>
      <c r="AI20">
        <v>0</v>
      </c>
      <c r="AJ20" s="27">
        <v>0.17881058491274471</v>
      </c>
      <c r="AK20" s="27">
        <v>2.280363456764932E-3</v>
      </c>
      <c r="AL20" s="73">
        <v>0.20928512053200338</v>
      </c>
      <c r="AM20" s="27" t="e">
        <v>#DIV/0!</v>
      </c>
      <c r="AN20" s="65">
        <v>28900.400000000001</v>
      </c>
      <c r="AO20">
        <v>48676</v>
      </c>
      <c r="AP20" s="49">
        <v>26521.359999999997</v>
      </c>
      <c r="AQ20">
        <v>43735.8</v>
      </c>
      <c r="AR20">
        <v>22567.599999999999</v>
      </c>
      <c r="AS20">
        <v>12288.6</v>
      </c>
      <c r="AT20">
        <v>0</v>
      </c>
      <c r="AU20">
        <v>0</v>
      </c>
      <c r="AV20" s="27">
        <v>8.2318583825829558E-2</v>
      </c>
      <c r="AW20" s="27">
        <v>4.7760493255014072E-3</v>
      </c>
      <c r="AX20" s="73">
        <v>0.10149149478182261</v>
      </c>
      <c r="AY20" s="27" t="e">
        <v>#DIV/0!</v>
      </c>
      <c r="AZ20" s="65">
        <v>28235.599999999999</v>
      </c>
      <c r="BA20">
        <v>55474</v>
      </c>
      <c r="BB20" s="49">
        <v>26612.159999999996</v>
      </c>
      <c r="BC20">
        <v>51813.599999999999</v>
      </c>
      <c r="BD20">
        <v>14716.8</v>
      </c>
      <c r="BE20">
        <v>0</v>
      </c>
      <c r="BF20">
        <v>0</v>
      </c>
      <c r="BG20">
        <v>0</v>
      </c>
      <c r="BH20" s="83">
        <v>5.7496210457720125E-2</v>
      </c>
      <c r="BI20" s="83">
        <v>2.0716945377961065E-3</v>
      </c>
      <c r="BJ20" s="73">
        <v>6.5984064606842877E-2</v>
      </c>
      <c r="BK20" s="27" t="e">
        <v>#DIV/0!</v>
      </c>
      <c r="BL20" s="65">
        <v>40861.599999999999</v>
      </c>
      <c r="BM20">
        <v>86423</v>
      </c>
      <c r="BN20" s="49">
        <v>38201.200000000004</v>
      </c>
      <c r="BO20">
        <v>80668.600000000006</v>
      </c>
      <c r="BP20">
        <v>14834.4</v>
      </c>
      <c r="BQ20">
        <v>12176.6</v>
      </c>
      <c r="BR20">
        <v>0</v>
      </c>
      <c r="BS20">
        <v>0</v>
      </c>
      <c r="BT20" s="27">
        <v>6.5107582669303068E-2</v>
      </c>
      <c r="BU20" s="27">
        <v>2.8898700822531972E-4</v>
      </c>
      <c r="BV20" s="73">
        <v>6.6584126910660291E-2</v>
      </c>
      <c r="BW20" s="27" t="e">
        <v>#DIV/0!</v>
      </c>
      <c r="BX20" s="65">
        <v>21352</v>
      </c>
      <c r="BY20">
        <v>38534</v>
      </c>
      <c r="BZ20" s="49">
        <v>20573.68</v>
      </c>
      <c r="CA20">
        <v>36697.4</v>
      </c>
      <c r="CB20">
        <v>14736.8</v>
      </c>
      <c r="CC20">
        <v>11300.2</v>
      </c>
      <c r="CD20">
        <v>0</v>
      </c>
      <c r="CE20">
        <v>0</v>
      </c>
      <c r="CF20" s="27">
        <v>3.6451854627201186E-2</v>
      </c>
      <c r="CG20" s="84">
        <v>1.1226418470774969E-3</v>
      </c>
      <c r="CH20" s="73">
        <v>4.7661805159080257E-2</v>
      </c>
      <c r="CI20" s="27" t="e">
        <v>#DIV/0!</v>
      </c>
      <c r="CJ20" s="63">
        <v>18539.2</v>
      </c>
      <c r="CK20">
        <v>28067</v>
      </c>
      <c r="CL20" s="49">
        <v>15783.52</v>
      </c>
      <c r="CM20">
        <v>23309.8</v>
      </c>
      <c r="CN20">
        <v>16149</v>
      </c>
      <c r="CO20">
        <v>10001.799999999999</v>
      </c>
      <c r="CP20">
        <v>0</v>
      </c>
      <c r="CQ20">
        <v>0</v>
      </c>
      <c r="CR20" s="27">
        <v>0.14864071804608614</v>
      </c>
      <c r="CS20" s="84">
        <v>2.1837223912998726E-3</v>
      </c>
      <c r="CT20" s="73">
        <v>0.16949442405672144</v>
      </c>
      <c r="CU20" s="27" t="e">
        <v>#DIV/0!</v>
      </c>
      <c r="CV20"/>
      <c r="CW20" s="27">
        <v>0.11404940056386727</v>
      </c>
      <c r="CX20" s="27">
        <v>3.7936645325192006E-3</v>
      </c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GV20" s="55" t="e">
        <v>#DIV/0!</v>
      </c>
      <c r="GW20" s="55" t="e">
        <v>#DIV/0!</v>
      </c>
      <c r="GX20" s="55" t="e">
        <v>#DIV/0!</v>
      </c>
      <c r="GY20" s="55" t="e">
        <v>#DIV/0!</v>
      </c>
    </row>
    <row r="21" spans="1:207" ht="14.4" hidden="1" customHeight="1" x14ac:dyDescent="0.3">
      <c r="A21" s="151" t="s">
        <v>30</v>
      </c>
      <c r="B21" s="60"/>
      <c r="C21" s="23"/>
      <c r="D21" s="24">
        <v>12434.4</v>
      </c>
      <c r="E21">
        <v>20611</v>
      </c>
      <c r="F21">
        <v>10475</v>
      </c>
      <c r="G21">
        <v>0</v>
      </c>
      <c r="H21">
        <v>0</v>
      </c>
      <c r="I21">
        <v>0</v>
      </c>
      <c r="J21" s="27">
        <v>0.11357785415994653</v>
      </c>
      <c r="K21" s="27">
        <v>0</v>
      </c>
      <c r="L21" s="27">
        <v>8.1267594186622119E-2</v>
      </c>
      <c r="N21" s="73"/>
      <c r="R21" s="49">
        <v>38469</v>
      </c>
      <c r="S21">
        <v>75689</v>
      </c>
      <c r="T21">
        <v>20281</v>
      </c>
      <c r="U21">
        <v>2119</v>
      </c>
      <c r="V21">
        <v>0</v>
      </c>
      <c r="W21">
        <v>405</v>
      </c>
      <c r="X21" s="27">
        <v>0.26800168970989507</v>
      </c>
      <c r="Z21" s="73"/>
      <c r="AD21" s="49">
        <v>20068</v>
      </c>
      <c r="AE21">
        <v>37906</v>
      </c>
      <c r="AF21">
        <v>12264</v>
      </c>
      <c r="AG21">
        <v>12833</v>
      </c>
      <c r="AH21">
        <v>0</v>
      </c>
      <c r="AI21">
        <v>0</v>
      </c>
      <c r="AJ21" s="27">
        <v>0.18102498388005123</v>
      </c>
      <c r="AL21" s="73"/>
      <c r="AP21" s="49">
        <v>26399.599999999999</v>
      </c>
      <c r="AQ21">
        <v>43468</v>
      </c>
      <c r="AR21">
        <v>22531</v>
      </c>
      <c r="AS21">
        <v>20154</v>
      </c>
      <c r="AT21">
        <v>0</v>
      </c>
      <c r="AU21">
        <v>0</v>
      </c>
      <c r="AV21" s="27">
        <v>8.6563280671524662E-2</v>
      </c>
      <c r="AX21" s="73"/>
      <c r="BB21" s="49">
        <v>26736.800000000003</v>
      </c>
      <c r="BC21">
        <v>52212</v>
      </c>
      <c r="BD21">
        <v>14630</v>
      </c>
      <c r="BE21">
        <v>0</v>
      </c>
      <c r="BF21">
        <v>0</v>
      </c>
      <c r="BG21">
        <v>0</v>
      </c>
      <c r="BH21" s="27">
        <v>5.311546007663797E-2</v>
      </c>
      <c r="BJ21" s="73"/>
      <c r="BN21" s="49">
        <v>38189.200000000004</v>
      </c>
      <c r="BO21">
        <v>80641</v>
      </c>
      <c r="BP21">
        <v>14832</v>
      </c>
      <c r="BQ21">
        <v>11982</v>
      </c>
      <c r="BR21">
        <v>0</v>
      </c>
      <c r="BS21">
        <v>0</v>
      </c>
      <c r="BT21" s="27">
        <v>6.5424128665331968E-2</v>
      </c>
      <c r="BV21" s="73"/>
      <c r="BZ21" s="49">
        <v>20643.2</v>
      </c>
      <c r="CA21">
        <v>36864</v>
      </c>
      <c r="CB21">
        <v>14744</v>
      </c>
      <c r="CC21">
        <v>9002</v>
      </c>
      <c r="CD21">
        <v>0</v>
      </c>
      <c r="CE21">
        <v>0</v>
      </c>
      <c r="CF21" s="27">
        <v>3.3241230740411153E-2</v>
      </c>
      <c r="CH21" s="73"/>
      <c r="CL21" s="49">
        <v>15944</v>
      </c>
      <c r="CM21">
        <v>23689</v>
      </c>
      <c r="CN21">
        <v>16171</v>
      </c>
      <c r="CO21">
        <v>8088</v>
      </c>
      <c r="CP21">
        <v>0</v>
      </c>
      <c r="CQ21">
        <v>0</v>
      </c>
      <c r="CR21" s="27">
        <v>0.13998446534909817</v>
      </c>
      <c r="CT21" s="73"/>
      <c r="CV21" s="152"/>
      <c r="CW21" s="27">
        <v>0.11357785415994653</v>
      </c>
      <c r="CX21" s="27">
        <v>0</v>
      </c>
      <c r="CY21" s="152"/>
      <c r="CZ21" s="152"/>
      <c r="DA21" s="152"/>
      <c r="DB21" s="152"/>
      <c r="DC21" s="152"/>
      <c r="DD21" s="152"/>
    </row>
    <row r="22" spans="1:207" ht="14.4" hidden="1" customHeight="1" x14ac:dyDescent="0.3">
      <c r="A22" s="151"/>
      <c r="B22" s="60"/>
      <c r="C22" s="23"/>
      <c r="D22" s="24">
        <v>12603.2</v>
      </c>
      <c r="E22">
        <v>20977</v>
      </c>
      <c r="F22">
        <v>10531</v>
      </c>
      <c r="G22">
        <v>0</v>
      </c>
      <c r="H22">
        <v>0</v>
      </c>
      <c r="I22">
        <v>0</v>
      </c>
      <c r="J22" s="27">
        <v>0.11279386812754075</v>
      </c>
      <c r="K22" s="27">
        <v>0</v>
      </c>
      <c r="L22" s="27">
        <v>6.8795578640934413E-2</v>
      </c>
      <c r="N22" s="73"/>
      <c r="R22" s="49">
        <v>38941.199999999997</v>
      </c>
      <c r="S22">
        <v>76639</v>
      </c>
      <c r="T22">
        <v>20401</v>
      </c>
      <c r="U22">
        <v>1939</v>
      </c>
      <c r="V22">
        <v>0</v>
      </c>
      <c r="W22">
        <v>626</v>
      </c>
      <c r="X22" s="27">
        <v>0.25901654317322959</v>
      </c>
      <c r="Z22" s="73"/>
      <c r="AD22" s="49">
        <v>19962.400000000001</v>
      </c>
      <c r="AE22">
        <v>37680</v>
      </c>
      <c r="AF22">
        <v>12226</v>
      </c>
      <c r="AG22">
        <v>11669</v>
      </c>
      <c r="AH22">
        <v>0</v>
      </c>
      <c r="AI22">
        <v>0</v>
      </c>
      <c r="AJ22" s="27">
        <v>0.18533451954390739</v>
      </c>
      <c r="AL22" s="73"/>
      <c r="AP22" s="49">
        <v>26653.200000000004</v>
      </c>
      <c r="AQ22">
        <v>44006</v>
      </c>
      <c r="AR22">
        <v>22627</v>
      </c>
      <c r="AS22">
        <v>16012</v>
      </c>
      <c r="AT22">
        <v>0</v>
      </c>
      <c r="AU22">
        <v>0</v>
      </c>
      <c r="AV22" s="27">
        <v>7.7788619236438275E-2</v>
      </c>
      <c r="AX22" s="73"/>
      <c r="BB22" s="49">
        <v>26770.000000000004</v>
      </c>
      <c r="BC22">
        <v>52249</v>
      </c>
      <c r="BD22">
        <v>14676</v>
      </c>
      <c r="BE22">
        <v>0</v>
      </c>
      <c r="BF22">
        <v>0</v>
      </c>
      <c r="BG22">
        <v>0</v>
      </c>
      <c r="BH22" s="27">
        <v>5.1939681123081213E-2</v>
      </c>
      <c r="BJ22" s="73"/>
      <c r="BN22" s="49">
        <v>38311.199999999997</v>
      </c>
      <c r="BO22">
        <v>80978</v>
      </c>
      <c r="BP22">
        <v>14800</v>
      </c>
      <c r="BQ22">
        <v>13113</v>
      </c>
      <c r="BR22">
        <v>0</v>
      </c>
      <c r="BS22">
        <v>0</v>
      </c>
      <c r="BT22" s="27">
        <v>6.2438513457293503E-2</v>
      </c>
      <c r="BV22" s="73"/>
      <c r="BZ22" s="49">
        <v>20584.400000000001</v>
      </c>
      <c r="CA22">
        <v>36723</v>
      </c>
      <c r="CB22">
        <v>14738</v>
      </c>
      <c r="CC22">
        <v>11318</v>
      </c>
      <c r="CD22">
        <v>0</v>
      </c>
      <c r="CE22">
        <v>0</v>
      </c>
      <c r="CF22" s="27">
        <v>3.5994942162693701E-2</v>
      </c>
      <c r="CH22" s="73"/>
      <c r="CL22" s="49">
        <v>15553.600000000002</v>
      </c>
      <c r="CM22">
        <v>22763</v>
      </c>
      <c r="CN22">
        <v>16121</v>
      </c>
      <c r="CO22">
        <v>10216</v>
      </c>
      <c r="CP22">
        <v>0</v>
      </c>
      <c r="CQ22">
        <v>0</v>
      </c>
      <c r="CR22" s="27">
        <v>0.16104254768274781</v>
      </c>
      <c r="CT22" s="73"/>
      <c r="CV22" s="152"/>
      <c r="CW22" s="27">
        <v>0.11279386812754075</v>
      </c>
      <c r="CX22" s="27">
        <v>0</v>
      </c>
      <c r="CY22" s="152"/>
      <c r="CZ22" s="152"/>
      <c r="DA22" s="152"/>
      <c r="DB22" s="152"/>
      <c r="DC22" s="152"/>
      <c r="DD22" s="152"/>
    </row>
    <row r="23" spans="1:207" ht="14.4" hidden="1" customHeight="1" x14ac:dyDescent="0.3">
      <c r="A23" s="151"/>
      <c r="B23" s="60"/>
      <c r="C23" s="23"/>
      <c r="D23" s="24">
        <v>12374.400000000001</v>
      </c>
      <c r="E23">
        <v>20587</v>
      </c>
      <c r="F23">
        <v>10349</v>
      </c>
      <c r="G23">
        <v>0</v>
      </c>
      <c r="H23">
        <v>0</v>
      </c>
      <c r="I23">
        <v>0</v>
      </c>
      <c r="J23" s="27">
        <v>0.11786075026163391</v>
      </c>
      <c r="K23" s="27">
        <v>0</v>
      </c>
      <c r="L23" s="27">
        <v>8.5700775067790572E-2</v>
      </c>
      <c r="N23" s="73"/>
      <c r="R23" s="49">
        <v>38051.200000000004</v>
      </c>
      <c r="S23">
        <v>74522</v>
      </c>
      <c r="T23">
        <v>20131</v>
      </c>
      <c r="U23">
        <v>386</v>
      </c>
      <c r="V23">
        <v>0</v>
      </c>
      <c r="W23">
        <v>950</v>
      </c>
      <c r="X23" s="27">
        <v>0.27595169865317937</v>
      </c>
      <c r="Z23" s="73"/>
      <c r="AD23" s="49">
        <v>19962.400000000001</v>
      </c>
      <c r="AE23">
        <v>37680</v>
      </c>
      <c r="AF23">
        <v>12226</v>
      </c>
      <c r="AG23">
        <v>11669</v>
      </c>
      <c r="AH23">
        <v>0</v>
      </c>
      <c r="AI23">
        <v>0</v>
      </c>
      <c r="AJ23" s="27">
        <v>0.18533451954390739</v>
      </c>
      <c r="AL23" s="73"/>
      <c r="AP23" s="49">
        <v>26369.200000000004</v>
      </c>
      <c r="AQ23">
        <v>43396</v>
      </c>
      <c r="AR23">
        <v>22527</v>
      </c>
      <c r="AS23">
        <v>20154</v>
      </c>
      <c r="AT23">
        <v>0</v>
      </c>
      <c r="AU23">
        <v>0</v>
      </c>
      <c r="AV23" s="27">
        <v>8.7615132830935416E-2</v>
      </c>
      <c r="AX23" s="73"/>
      <c r="BB23" s="49">
        <v>26692.799999999999</v>
      </c>
      <c r="BC23">
        <v>52090</v>
      </c>
      <c r="BD23">
        <v>14642</v>
      </c>
      <c r="BE23">
        <v>0</v>
      </c>
      <c r="BF23">
        <v>0</v>
      </c>
      <c r="BG23">
        <v>0</v>
      </c>
      <c r="BH23" s="27">
        <v>5.4673721340387983E-2</v>
      </c>
      <c r="BJ23" s="73"/>
      <c r="BN23" s="49">
        <v>38189.200000000004</v>
      </c>
      <c r="BO23">
        <v>80641</v>
      </c>
      <c r="BP23">
        <v>14832</v>
      </c>
      <c r="BQ23">
        <v>11982</v>
      </c>
      <c r="BR23">
        <v>0</v>
      </c>
      <c r="BS23">
        <v>0</v>
      </c>
      <c r="BT23" s="27">
        <v>6.5424128665331968E-2</v>
      </c>
      <c r="BV23" s="73"/>
      <c r="BZ23" s="49">
        <v>20562.400000000001</v>
      </c>
      <c r="CA23">
        <v>36671</v>
      </c>
      <c r="CB23">
        <v>14735</v>
      </c>
      <c r="CC23">
        <v>11297</v>
      </c>
      <c r="CD23">
        <v>0</v>
      </c>
      <c r="CE23">
        <v>0</v>
      </c>
      <c r="CF23" s="27">
        <v>3.702524235470419E-2</v>
      </c>
      <c r="CH23" s="73"/>
      <c r="CL23" s="49">
        <v>15736.800000000001</v>
      </c>
      <c r="CM23">
        <v>23199</v>
      </c>
      <c r="CN23">
        <v>16143</v>
      </c>
      <c r="CO23">
        <v>10167</v>
      </c>
      <c r="CP23">
        <v>0</v>
      </c>
      <c r="CQ23">
        <v>0</v>
      </c>
      <c r="CR23" s="27">
        <v>0.15116078363683436</v>
      </c>
      <c r="CT23" s="73"/>
      <c r="CV23" s="152"/>
      <c r="CW23" s="27">
        <v>0.11786075026163391</v>
      </c>
      <c r="CX23" s="27">
        <v>0</v>
      </c>
      <c r="CY23" s="152"/>
      <c r="CZ23" s="152"/>
      <c r="DA23" s="152"/>
      <c r="DB23" s="152"/>
      <c r="DC23" s="152"/>
      <c r="DD23" s="152"/>
    </row>
    <row r="24" spans="1:207" ht="14.4" hidden="1" customHeight="1" x14ac:dyDescent="0.3">
      <c r="A24" s="151"/>
      <c r="B24" s="60"/>
      <c r="C24" s="23"/>
      <c r="D24" s="24">
        <v>12494.400000000001</v>
      </c>
      <c r="E24">
        <v>20763</v>
      </c>
      <c r="F24">
        <v>10473</v>
      </c>
      <c r="G24">
        <v>0</v>
      </c>
      <c r="H24">
        <v>0</v>
      </c>
      <c r="I24">
        <v>0</v>
      </c>
      <c r="J24" s="27">
        <v>0.11461781754963835</v>
      </c>
      <c r="K24" s="27">
        <v>0</v>
      </c>
      <c r="L24" s="27">
        <v>7.6834413305453389E-2</v>
      </c>
      <c r="N24" s="73"/>
      <c r="R24" s="49">
        <v>38471</v>
      </c>
      <c r="S24">
        <v>75390</v>
      </c>
      <c r="T24">
        <v>20272</v>
      </c>
      <c r="U24">
        <v>0</v>
      </c>
      <c r="V24">
        <v>0</v>
      </c>
      <c r="W24">
        <v>1031</v>
      </c>
      <c r="X24" s="27">
        <v>0.26796363318072669</v>
      </c>
      <c r="Z24" s="73"/>
      <c r="AD24" s="49">
        <v>19990.800000000003</v>
      </c>
      <c r="AE24">
        <v>37736</v>
      </c>
      <c r="AF24">
        <v>12241</v>
      </c>
      <c r="AG24">
        <v>12656</v>
      </c>
      <c r="AH24">
        <v>0</v>
      </c>
      <c r="AI24">
        <v>0</v>
      </c>
      <c r="AJ24" s="27">
        <v>0.18417551563430964</v>
      </c>
      <c r="AL24" s="73"/>
      <c r="AP24" s="49">
        <v>26636.800000000003</v>
      </c>
      <c r="AQ24">
        <v>43986</v>
      </c>
      <c r="AR24">
        <v>22606</v>
      </c>
      <c r="AS24">
        <v>0</v>
      </c>
      <c r="AT24">
        <v>0</v>
      </c>
      <c r="AU24">
        <v>0</v>
      </c>
      <c r="AV24" s="27">
        <v>7.8356065796120547E-2</v>
      </c>
      <c r="AX24" s="73"/>
      <c r="BB24" s="49">
        <v>26692.799999999999</v>
      </c>
      <c r="BC24">
        <v>52090</v>
      </c>
      <c r="BD24">
        <v>14642</v>
      </c>
      <c r="BE24">
        <v>0</v>
      </c>
      <c r="BF24">
        <v>0</v>
      </c>
      <c r="BG24">
        <v>0</v>
      </c>
      <c r="BH24" s="27">
        <v>5.4673721340387983E-2</v>
      </c>
      <c r="BJ24" s="73"/>
      <c r="BN24" s="49">
        <v>38189.200000000004</v>
      </c>
      <c r="BO24">
        <v>80641</v>
      </c>
      <c r="BP24">
        <v>14832</v>
      </c>
      <c r="BQ24">
        <v>12126</v>
      </c>
      <c r="BR24">
        <v>0</v>
      </c>
      <c r="BS24">
        <v>0</v>
      </c>
      <c r="BT24" s="27">
        <v>6.5424128665331968E-2</v>
      </c>
      <c r="BV24" s="73"/>
      <c r="BZ24" s="49">
        <v>20494.400000000001</v>
      </c>
      <c r="CA24">
        <v>36508</v>
      </c>
      <c r="CB24">
        <v>14728</v>
      </c>
      <c r="CC24">
        <v>11304</v>
      </c>
      <c r="CD24">
        <v>0</v>
      </c>
      <c r="CE24">
        <v>0</v>
      </c>
      <c r="CF24" s="27">
        <v>4.0209806584554794E-2</v>
      </c>
      <c r="CH24" s="73"/>
      <c r="CL24" s="49">
        <v>15771.2</v>
      </c>
      <c r="CM24">
        <v>23281</v>
      </c>
      <c r="CN24">
        <v>16147</v>
      </c>
      <c r="CO24">
        <v>9764</v>
      </c>
      <c r="CP24">
        <v>0</v>
      </c>
      <c r="CQ24">
        <v>0</v>
      </c>
      <c r="CR24" s="27">
        <v>0.14930525589022178</v>
      </c>
      <c r="CT24" s="73"/>
      <c r="CV24" s="152"/>
      <c r="CW24" s="27">
        <v>0.11461781754963835</v>
      </c>
      <c r="CX24" s="27">
        <v>0</v>
      </c>
      <c r="CY24" s="152"/>
      <c r="CZ24" s="152"/>
      <c r="DA24" s="152"/>
      <c r="DB24" s="152"/>
      <c r="DC24" s="152"/>
      <c r="DD24" s="152"/>
    </row>
    <row r="25" spans="1:207" ht="14.4" hidden="1" customHeight="1" x14ac:dyDescent="0.3">
      <c r="A25" s="151"/>
      <c r="B25" s="60"/>
      <c r="C25" s="23"/>
      <c r="D25" s="24">
        <v>12814.4</v>
      </c>
      <c r="E25">
        <v>21666</v>
      </c>
      <c r="F25">
        <v>10370</v>
      </c>
      <c r="G25">
        <v>0</v>
      </c>
      <c r="H25">
        <v>0</v>
      </c>
      <c r="I25">
        <v>0</v>
      </c>
      <c r="J25" s="27">
        <v>0.11234701447767143</v>
      </c>
      <c r="K25" s="27">
        <v>0</v>
      </c>
      <c r="L25" s="27">
        <v>5.3190781939221068E-2</v>
      </c>
      <c r="N25" s="73"/>
      <c r="R25" s="49">
        <v>38375</v>
      </c>
      <c r="S25">
        <v>75428</v>
      </c>
      <c r="T25">
        <v>20295</v>
      </c>
      <c r="U25">
        <v>436</v>
      </c>
      <c r="V25">
        <v>0</v>
      </c>
      <c r="W25">
        <v>429</v>
      </c>
      <c r="X25" s="27">
        <v>0.26979034658081114</v>
      </c>
      <c r="Z25" s="73"/>
      <c r="AD25" s="49">
        <v>20046</v>
      </c>
      <c r="AE25">
        <v>37848</v>
      </c>
      <c r="AF25">
        <v>12267</v>
      </c>
      <c r="AG25">
        <v>12904</v>
      </c>
      <c r="AH25">
        <v>0</v>
      </c>
      <c r="AI25">
        <v>0</v>
      </c>
      <c r="AJ25" s="27">
        <v>0.18192280381002127</v>
      </c>
      <c r="AL25" s="73"/>
      <c r="AP25" s="49">
        <v>26417.599999999999</v>
      </c>
      <c r="AQ25">
        <v>43513</v>
      </c>
      <c r="AR25">
        <v>22531</v>
      </c>
      <c r="AS25">
        <v>19965</v>
      </c>
      <c r="AT25">
        <v>0</v>
      </c>
      <c r="AU25">
        <v>0</v>
      </c>
      <c r="AV25" s="27">
        <v>8.5940473471873433E-2</v>
      </c>
      <c r="AX25" s="73"/>
      <c r="BB25" s="49">
        <v>26770.000000000004</v>
      </c>
      <c r="BC25">
        <v>52249</v>
      </c>
      <c r="BD25">
        <v>14676</v>
      </c>
      <c r="BE25">
        <v>0</v>
      </c>
      <c r="BF25">
        <v>0</v>
      </c>
      <c r="BG25">
        <v>0</v>
      </c>
      <c r="BH25" s="27">
        <v>5.1939681123081213E-2</v>
      </c>
      <c r="BJ25" s="73"/>
      <c r="BN25" s="49">
        <v>38222</v>
      </c>
      <c r="BO25">
        <v>80721</v>
      </c>
      <c r="BP25">
        <v>14834</v>
      </c>
      <c r="BQ25">
        <v>12224</v>
      </c>
      <c r="BR25">
        <v>0</v>
      </c>
      <c r="BS25">
        <v>0</v>
      </c>
      <c r="BT25" s="27">
        <v>6.4621438674974149E-2</v>
      </c>
      <c r="BV25" s="73"/>
      <c r="BZ25" s="49">
        <v>20494.400000000001</v>
      </c>
      <c r="CA25">
        <v>36508</v>
      </c>
      <c r="CB25">
        <v>14728</v>
      </c>
      <c r="CC25">
        <v>11304</v>
      </c>
      <c r="CD25">
        <v>0</v>
      </c>
      <c r="CE25">
        <v>0</v>
      </c>
      <c r="CF25" s="27">
        <v>4.0209806584554794E-2</v>
      </c>
      <c r="CH25" s="73"/>
      <c r="CL25" s="49">
        <v>15736.800000000001</v>
      </c>
      <c r="CM25">
        <v>23199</v>
      </c>
      <c r="CN25">
        <v>16143</v>
      </c>
      <c r="CO25">
        <v>9890</v>
      </c>
      <c r="CP25">
        <v>0</v>
      </c>
      <c r="CQ25">
        <v>0</v>
      </c>
      <c r="CR25" s="27">
        <v>0.15116078363683436</v>
      </c>
      <c r="CT25" s="73"/>
      <c r="CV25" s="152"/>
      <c r="CW25" s="27">
        <v>0.11234701447767143</v>
      </c>
      <c r="CX25" s="27">
        <v>0</v>
      </c>
      <c r="CY25" s="152"/>
      <c r="CZ25" s="152"/>
      <c r="DA25" s="152"/>
      <c r="DB25" s="152"/>
      <c r="DC25" s="152"/>
      <c r="DD25" s="152"/>
    </row>
    <row r="26" spans="1:207" s="55" customFormat="1" x14ac:dyDescent="0.3">
      <c r="A26" s="52" t="s">
        <v>30</v>
      </c>
      <c r="B26" s="53" t="s">
        <v>44</v>
      </c>
      <c r="C26" s="53">
        <v>22829</v>
      </c>
      <c r="D26" s="54">
        <v>12544.16</v>
      </c>
      <c r="E26" s="55">
        <v>20920.8</v>
      </c>
      <c r="F26" s="55">
        <v>10439.6</v>
      </c>
      <c r="G26" s="55">
        <v>0</v>
      </c>
      <c r="H26" s="55">
        <v>0</v>
      </c>
      <c r="I26" s="55">
        <v>0</v>
      </c>
      <c r="J26" s="27">
        <v>0.1142394609152862</v>
      </c>
      <c r="K26" s="27">
        <v>4.5527626739871336E-3</v>
      </c>
      <c r="L26" s="27">
        <v>7.3157828628004365E-2</v>
      </c>
      <c r="M26" s="27">
        <v>1.2789871540786521E-2</v>
      </c>
      <c r="N26" s="73">
        <v>8.3586666082614253E-2</v>
      </c>
      <c r="O26" s="27" t="e">
        <v>#DIV/0!</v>
      </c>
      <c r="P26" s="65">
        <v>52553.4</v>
      </c>
      <c r="Q26" s="26">
        <v>81057</v>
      </c>
      <c r="R26" s="49">
        <v>38461.479999999996</v>
      </c>
      <c r="S26">
        <v>75533.600000000006</v>
      </c>
      <c r="T26">
        <v>20276</v>
      </c>
      <c r="U26">
        <v>976</v>
      </c>
      <c r="V26">
        <v>0</v>
      </c>
      <c r="W26">
        <v>688.2</v>
      </c>
      <c r="X26" s="27">
        <v>0.26814478225956845</v>
      </c>
      <c r="Y26" s="27">
        <v>6.0628760666056759E-3</v>
      </c>
      <c r="Z26" s="73">
        <v>6.8142171558286072E-2</v>
      </c>
      <c r="AA26" s="27" t="e">
        <v>#DIV/0!</v>
      </c>
      <c r="AB26" s="63">
        <v>24503.8</v>
      </c>
      <c r="AC26">
        <v>48120</v>
      </c>
      <c r="AD26" s="49">
        <v>20005.920000000002</v>
      </c>
      <c r="AE26">
        <v>37770</v>
      </c>
      <c r="AF26">
        <v>12244.8</v>
      </c>
      <c r="AG26">
        <v>12346.2</v>
      </c>
      <c r="AH26">
        <v>0</v>
      </c>
      <c r="AI26">
        <v>0</v>
      </c>
      <c r="AJ26" s="83">
        <v>0.18355846848243937</v>
      </c>
      <c r="AK26" s="85">
        <v>1.9864166912212204E-3</v>
      </c>
      <c r="AL26" s="73">
        <v>0.21508728179551123</v>
      </c>
      <c r="AM26" s="27" t="e">
        <v>#DIV/0!</v>
      </c>
      <c r="AN26" s="65">
        <v>28901.4</v>
      </c>
      <c r="AO26">
        <v>48676</v>
      </c>
      <c r="AP26" s="49">
        <v>26495.279999999999</v>
      </c>
      <c r="AQ26">
        <v>43673.8</v>
      </c>
      <c r="AR26">
        <v>22564.400000000001</v>
      </c>
      <c r="AS26">
        <v>15257</v>
      </c>
      <c r="AT26">
        <v>0</v>
      </c>
      <c r="AU26">
        <v>0</v>
      </c>
      <c r="AV26" s="27">
        <v>8.3252714401378561E-2</v>
      </c>
      <c r="AW26" s="27">
        <v>4.7709562966844728E-3</v>
      </c>
      <c r="AX26" s="73">
        <v>0.10276522310789706</v>
      </c>
      <c r="AY26" s="27" t="e">
        <v>#DIV/0!</v>
      </c>
      <c r="AZ26" s="65">
        <v>28236.6</v>
      </c>
      <c r="BA26">
        <v>55474</v>
      </c>
      <c r="BB26" s="49">
        <v>26732.480000000003</v>
      </c>
      <c r="BC26">
        <v>52178</v>
      </c>
      <c r="BD26">
        <v>14653.2</v>
      </c>
      <c r="BE26">
        <v>0</v>
      </c>
      <c r="BF26">
        <v>0</v>
      </c>
      <c r="BG26">
        <v>0</v>
      </c>
      <c r="BH26" s="27">
        <v>5.326845300071522E-2</v>
      </c>
      <c r="BI26" s="27">
        <v>1.3696928901557645E-3</v>
      </c>
      <c r="BJ26" s="73">
        <v>5.9415221545228394E-2</v>
      </c>
      <c r="BK26" s="27" t="e">
        <v>#DIV/0!</v>
      </c>
      <c r="BL26" s="65">
        <v>40862.6</v>
      </c>
      <c r="BM26">
        <v>86423</v>
      </c>
      <c r="BN26" s="49">
        <v>38220.160000000003</v>
      </c>
      <c r="BO26">
        <v>80724.399999999994</v>
      </c>
      <c r="BP26">
        <v>14826</v>
      </c>
      <c r="BQ26">
        <v>12285.4</v>
      </c>
      <c r="BR26">
        <v>0</v>
      </c>
      <c r="BS26">
        <v>0</v>
      </c>
      <c r="BT26" s="27">
        <v>6.4666467625652674E-2</v>
      </c>
      <c r="BU26" s="27">
        <v>1.2930543430045721E-3</v>
      </c>
      <c r="BV26" s="73">
        <v>6.5938465454797979E-2</v>
      </c>
      <c r="BW26" s="27" t="e">
        <v>#DIV/0!</v>
      </c>
      <c r="BX26" s="65">
        <v>21353</v>
      </c>
      <c r="BY26">
        <v>38534</v>
      </c>
      <c r="BZ26" s="49">
        <v>20555.760000000002</v>
      </c>
      <c r="CA26">
        <v>36654.800000000003</v>
      </c>
      <c r="CB26">
        <v>14734.6</v>
      </c>
      <c r="CC26">
        <v>10845</v>
      </c>
      <c r="CD26">
        <v>0</v>
      </c>
      <c r="CE26">
        <v>0</v>
      </c>
      <c r="CF26" s="27">
        <v>3.7336205685383692E-2</v>
      </c>
      <c r="CG26" s="27">
        <v>2.9656226195232949E-3</v>
      </c>
      <c r="CH26" s="73">
        <v>4.8767322364664897E-2</v>
      </c>
      <c r="CI26" s="27" t="e">
        <v>#DIV/0!</v>
      </c>
      <c r="CJ26" s="63">
        <v>18539.2</v>
      </c>
      <c r="CK26">
        <v>28067</v>
      </c>
      <c r="CL26" s="49">
        <v>15748.480000000001</v>
      </c>
      <c r="CM26">
        <v>23226.2</v>
      </c>
      <c r="CN26">
        <v>16145</v>
      </c>
      <c r="CO26">
        <v>9625</v>
      </c>
      <c r="CP26">
        <v>0</v>
      </c>
      <c r="CQ26">
        <v>0</v>
      </c>
      <c r="CR26" s="27">
        <v>0.15053076723914727</v>
      </c>
      <c r="CS26" s="27">
        <v>5.1836109439155498E-3</v>
      </c>
      <c r="CT26" s="73">
        <v>0.1724730110093704</v>
      </c>
      <c r="CU26" s="27" t="e">
        <v>#DIV/0!</v>
      </c>
      <c r="CV26"/>
      <c r="CW26" s="27">
        <v>0.1142394609152862</v>
      </c>
      <c r="CX26" s="27">
        <v>4.5527626739871336E-3</v>
      </c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GV26" s="55" t="e">
        <v>#DIV/0!</v>
      </c>
      <c r="GW26" s="55" t="e">
        <v>#DIV/0!</v>
      </c>
      <c r="GX26" s="55" t="e">
        <v>#DIV/0!</v>
      </c>
      <c r="GY26" s="55" t="e">
        <v>#DIV/0!</v>
      </c>
    </row>
    <row r="27" spans="1:207" ht="14.4" hidden="1" customHeight="1" x14ac:dyDescent="0.3">
      <c r="A27" s="151" t="s">
        <v>31</v>
      </c>
      <c r="B27" s="60"/>
      <c r="C27" s="23"/>
      <c r="D27" s="24">
        <v>12660</v>
      </c>
      <c r="E27">
        <v>21165</v>
      </c>
      <c r="F27">
        <v>10485</v>
      </c>
      <c r="G27">
        <v>0</v>
      </c>
      <c r="H27">
        <v>0</v>
      </c>
      <c r="I27">
        <v>0</v>
      </c>
      <c r="J27" s="27">
        <v>0.11350550310249594</v>
      </c>
      <c r="K27" s="27">
        <v>0</v>
      </c>
      <c r="L27" s="27">
        <v>6.46057453599716E-2</v>
      </c>
      <c r="N27" s="73"/>
      <c r="R27" s="49">
        <v>38922.600000000006</v>
      </c>
      <c r="S27">
        <v>76452</v>
      </c>
      <c r="T27">
        <v>20510</v>
      </c>
      <c r="U27">
        <v>1345</v>
      </c>
      <c r="V27">
        <v>0</v>
      </c>
      <c r="W27">
        <v>689</v>
      </c>
      <c r="X27" s="27">
        <v>0.2593845615210143</v>
      </c>
      <c r="Z27" s="73"/>
      <c r="AD27" s="49">
        <v>20046</v>
      </c>
      <c r="AE27">
        <v>37848</v>
      </c>
      <c r="AF27">
        <v>12267</v>
      </c>
      <c r="AG27">
        <v>12904</v>
      </c>
      <c r="AH27">
        <v>0</v>
      </c>
      <c r="AI27">
        <v>0</v>
      </c>
      <c r="AJ27" s="27">
        <v>0.18195618817537787</v>
      </c>
      <c r="AL27" s="73"/>
      <c r="AP27" s="49">
        <v>26453.600000000002</v>
      </c>
      <c r="AQ27">
        <v>43599</v>
      </c>
      <c r="AR27">
        <v>22535</v>
      </c>
      <c r="AS27">
        <v>19242</v>
      </c>
      <c r="AT27">
        <v>0</v>
      </c>
      <c r="AU27">
        <v>0</v>
      </c>
      <c r="AV27" s="27">
        <v>8.4726527900797141E-2</v>
      </c>
      <c r="AX27" s="73"/>
      <c r="BB27" s="49">
        <v>26586</v>
      </c>
      <c r="BC27">
        <v>51740</v>
      </c>
      <c r="BD27">
        <v>14725</v>
      </c>
      <c r="BE27">
        <v>0</v>
      </c>
      <c r="BF27">
        <v>0</v>
      </c>
      <c r="BG27">
        <v>0</v>
      </c>
      <c r="BH27" s="27">
        <v>5.8489390033147244E-2</v>
      </c>
      <c r="BJ27" s="73"/>
      <c r="BN27" s="49">
        <v>38199.200000000004</v>
      </c>
      <c r="BO27">
        <v>80662</v>
      </c>
      <c r="BP27">
        <v>14836</v>
      </c>
      <c r="BQ27">
        <v>12122</v>
      </c>
      <c r="BR27">
        <v>0</v>
      </c>
      <c r="BS27">
        <v>0</v>
      </c>
      <c r="BT27" s="27">
        <v>6.5202282716158008E-2</v>
      </c>
      <c r="BV27" s="73"/>
      <c r="BZ27" s="49">
        <v>20585.2</v>
      </c>
      <c r="CA27">
        <v>36725</v>
      </c>
      <c r="CB27">
        <v>14738</v>
      </c>
      <c r="CC27">
        <v>11299</v>
      </c>
      <c r="CD27">
        <v>0</v>
      </c>
      <c r="CE27">
        <v>0</v>
      </c>
      <c r="CF27" s="27">
        <v>3.6002622459492331E-2</v>
      </c>
      <c r="CH27" s="73"/>
      <c r="CL27" s="49">
        <v>15616</v>
      </c>
      <c r="CM27">
        <v>22911</v>
      </c>
      <c r="CN27">
        <v>16129</v>
      </c>
      <c r="CO27">
        <v>7930</v>
      </c>
      <c r="CP27">
        <v>0</v>
      </c>
      <c r="CQ27">
        <v>0</v>
      </c>
      <c r="CR27" s="27">
        <v>0.15767670665400885</v>
      </c>
      <c r="CT27" s="73"/>
      <c r="CV27" s="152"/>
      <c r="CW27" s="27">
        <v>0.11350550310249594</v>
      </c>
      <c r="CX27" s="27">
        <v>0</v>
      </c>
      <c r="CY27" s="152"/>
      <c r="CZ27" s="152"/>
      <c r="DA27" s="152"/>
      <c r="DB27" s="152"/>
      <c r="DC27" s="152"/>
      <c r="DD27" s="152"/>
    </row>
    <row r="28" spans="1:207" ht="14.4" hidden="1" customHeight="1" x14ac:dyDescent="0.3">
      <c r="A28" s="151"/>
      <c r="B28" s="60"/>
      <c r="C28" s="23"/>
      <c r="D28" s="24">
        <v>12814.4</v>
      </c>
      <c r="E28">
        <v>21666</v>
      </c>
      <c r="F28">
        <v>10370</v>
      </c>
      <c r="G28">
        <v>0</v>
      </c>
      <c r="H28">
        <v>0</v>
      </c>
      <c r="I28">
        <v>0</v>
      </c>
      <c r="J28" s="27">
        <v>0.11194487401011743</v>
      </c>
      <c r="K28" s="27">
        <v>0</v>
      </c>
      <c r="L28" s="27">
        <v>5.3197777515072708E-2</v>
      </c>
      <c r="N28" s="73"/>
      <c r="R28" s="49">
        <v>39057.800000000003</v>
      </c>
      <c r="S28">
        <v>76782</v>
      </c>
      <c r="T28">
        <v>20494</v>
      </c>
      <c r="U28">
        <v>2242</v>
      </c>
      <c r="V28">
        <v>0</v>
      </c>
      <c r="W28">
        <v>737</v>
      </c>
      <c r="X28" s="27">
        <v>0.25681198910081743</v>
      </c>
      <c r="Z28" s="73"/>
      <c r="AD28" s="49">
        <v>20161.599999999999</v>
      </c>
      <c r="AE28">
        <v>38150</v>
      </c>
      <c r="AF28">
        <v>12254</v>
      </c>
      <c r="AG28">
        <v>11141</v>
      </c>
      <c r="AH28">
        <v>0</v>
      </c>
      <c r="AI28">
        <v>0</v>
      </c>
      <c r="AJ28" s="27">
        <v>0.17723874506219192</v>
      </c>
      <c r="AL28" s="73"/>
      <c r="AP28" s="49">
        <v>26438</v>
      </c>
      <c r="AQ28">
        <v>43568</v>
      </c>
      <c r="AR28">
        <v>22527</v>
      </c>
      <c r="AS28">
        <v>19282</v>
      </c>
      <c r="AT28">
        <v>0</v>
      </c>
      <c r="AU28">
        <v>0</v>
      </c>
      <c r="AV28" s="27">
        <v>8.5266275465013336E-2</v>
      </c>
      <c r="AX28" s="73"/>
      <c r="BB28" s="49">
        <v>26692.799999999999</v>
      </c>
      <c r="BC28">
        <v>52090</v>
      </c>
      <c r="BD28">
        <v>14642</v>
      </c>
      <c r="BE28">
        <v>0</v>
      </c>
      <c r="BF28">
        <v>0</v>
      </c>
      <c r="BG28">
        <v>0</v>
      </c>
      <c r="BH28" s="27">
        <v>5.470719891208882E-2</v>
      </c>
      <c r="BJ28" s="73"/>
      <c r="BN28" s="49">
        <v>38202</v>
      </c>
      <c r="BO28">
        <v>80673</v>
      </c>
      <c r="BP28">
        <v>14832</v>
      </c>
      <c r="BQ28">
        <v>12072</v>
      </c>
      <c r="BR28">
        <v>0</v>
      </c>
      <c r="BS28">
        <v>0</v>
      </c>
      <c r="BT28" s="27">
        <v>6.5133762076762663E-2</v>
      </c>
      <c r="BV28" s="73"/>
      <c r="BZ28" s="49">
        <v>20440.8</v>
      </c>
      <c r="CA28">
        <v>36380</v>
      </c>
      <c r="CB28">
        <v>14722</v>
      </c>
      <c r="CC28">
        <v>11310</v>
      </c>
      <c r="CD28">
        <v>0</v>
      </c>
      <c r="CE28">
        <v>0</v>
      </c>
      <c r="CF28" s="27">
        <v>4.2764821579095287E-2</v>
      </c>
      <c r="CH28" s="73"/>
      <c r="CL28" s="49">
        <v>15564.800000000001</v>
      </c>
      <c r="CM28">
        <v>22789</v>
      </c>
      <c r="CN28">
        <v>16123</v>
      </c>
      <c r="CO28">
        <v>8337</v>
      </c>
      <c r="CP28">
        <v>0</v>
      </c>
      <c r="CQ28">
        <v>0</v>
      </c>
      <c r="CR28" s="27">
        <v>0.16043842236989728</v>
      </c>
      <c r="CT28" s="73"/>
      <c r="CV28" s="152"/>
      <c r="CW28" s="27">
        <v>0.11194487401011743</v>
      </c>
      <c r="CX28" s="27">
        <v>0</v>
      </c>
      <c r="CY28" s="152"/>
      <c r="CZ28" s="152"/>
      <c r="DA28" s="152"/>
      <c r="DB28" s="152"/>
      <c r="DC28" s="152"/>
      <c r="DD28" s="152"/>
    </row>
    <row r="29" spans="1:207" ht="14.4" hidden="1" customHeight="1" x14ac:dyDescent="0.3">
      <c r="A29" s="151"/>
      <c r="B29" s="60"/>
      <c r="C29" s="23"/>
      <c r="D29" s="24">
        <v>12695.2</v>
      </c>
      <c r="E29">
        <v>21211</v>
      </c>
      <c r="F29">
        <v>10527</v>
      </c>
      <c r="G29">
        <v>0</v>
      </c>
      <c r="H29">
        <v>0</v>
      </c>
      <c r="I29">
        <v>0</v>
      </c>
      <c r="J29" s="27">
        <v>0.1117332843727247</v>
      </c>
      <c r="K29" s="27">
        <v>0</v>
      </c>
      <c r="L29" s="27">
        <v>6.2004965125901326E-2</v>
      </c>
      <c r="N29" s="73"/>
      <c r="R29" s="49">
        <v>38545.800000000003</v>
      </c>
      <c r="S29">
        <v>75898</v>
      </c>
      <c r="T29">
        <v>20198</v>
      </c>
      <c r="U29">
        <v>274</v>
      </c>
      <c r="V29">
        <v>0</v>
      </c>
      <c r="W29">
        <v>537</v>
      </c>
      <c r="X29" s="27">
        <v>0.26655427518913732</v>
      </c>
      <c r="Z29" s="73"/>
      <c r="AD29" s="49">
        <v>19962.400000000001</v>
      </c>
      <c r="AE29">
        <v>37680</v>
      </c>
      <c r="AF29">
        <v>12226</v>
      </c>
      <c r="AG29">
        <v>12781</v>
      </c>
      <c r="AH29">
        <v>0</v>
      </c>
      <c r="AI29">
        <v>0</v>
      </c>
      <c r="AJ29" s="27">
        <v>0.18536776468283755</v>
      </c>
      <c r="AL29" s="73"/>
      <c r="AP29" s="49">
        <v>26860.800000000003</v>
      </c>
      <c r="AQ29">
        <v>44595</v>
      </c>
      <c r="AR29">
        <v>22557</v>
      </c>
      <c r="AS29">
        <v>0</v>
      </c>
      <c r="AT29">
        <v>0</v>
      </c>
      <c r="AU29">
        <v>0</v>
      </c>
      <c r="AV29" s="27">
        <v>7.0637732506642986E-2</v>
      </c>
      <c r="AX29" s="73"/>
      <c r="BB29" s="49">
        <v>26586</v>
      </c>
      <c r="BC29">
        <v>51740</v>
      </c>
      <c r="BD29">
        <v>14725</v>
      </c>
      <c r="BE29">
        <v>0</v>
      </c>
      <c r="BF29">
        <v>0</v>
      </c>
      <c r="BG29">
        <v>0</v>
      </c>
      <c r="BH29" s="27">
        <v>5.8489390033147244E-2</v>
      </c>
      <c r="BJ29" s="73"/>
      <c r="BN29" s="49">
        <v>38189.200000000004</v>
      </c>
      <c r="BO29">
        <v>80641</v>
      </c>
      <c r="BP29">
        <v>14832</v>
      </c>
      <c r="BQ29">
        <v>12070</v>
      </c>
      <c r="BR29">
        <v>0</v>
      </c>
      <c r="BS29">
        <v>0</v>
      </c>
      <c r="BT29" s="27">
        <v>6.5446999285427479E-2</v>
      </c>
      <c r="BV29" s="73"/>
      <c r="BZ29" s="49">
        <v>20623.600000000002</v>
      </c>
      <c r="CA29">
        <v>36818</v>
      </c>
      <c r="CB29">
        <v>14741</v>
      </c>
      <c r="CC29">
        <v>9005</v>
      </c>
      <c r="CD29">
        <v>0</v>
      </c>
      <c r="CE29">
        <v>0</v>
      </c>
      <c r="CF29" s="27">
        <v>3.4204364521869333E-2</v>
      </c>
      <c r="CH29" s="73"/>
      <c r="CL29" s="49">
        <v>15736.800000000001</v>
      </c>
      <c r="CM29">
        <v>23199</v>
      </c>
      <c r="CN29">
        <v>16143</v>
      </c>
      <c r="CO29">
        <v>10167</v>
      </c>
      <c r="CP29">
        <v>0</v>
      </c>
      <c r="CQ29">
        <v>0</v>
      </c>
      <c r="CR29" s="27">
        <v>0.15116078363683436</v>
      </c>
      <c r="CT29" s="73"/>
      <c r="CV29" s="152"/>
      <c r="CW29" s="27">
        <v>0.1117332843727247</v>
      </c>
      <c r="CX29" s="27">
        <v>0</v>
      </c>
      <c r="CY29" s="152"/>
      <c r="CZ29" s="152"/>
      <c r="DA29" s="152"/>
      <c r="DB29" s="152"/>
      <c r="DC29" s="152"/>
      <c r="DD29" s="152"/>
    </row>
    <row r="30" spans="1:207" ht="14.4" hidden="1" customHeight="1" x14ac:dyDescent="0.3">
      <c r="A30" s="151"/>
      <c r="B30" s="60"/>
      <c r="C30" s="23"/>
      <c r="D30" s="24">
        <v>12374.400000000001</v>
      </c>
      <c r="E30">
        <v>20587</v>
      </c>
      <c r="F30">
        <v>10349</v>
      </c>
      <c r="G30">
        <v>0</v>
      </c>
      <c r="H30">
        <v>0</v>
      </c>
      <c r="I30">
        <v>0</v>
      </c>
      <c r="J30" s="27">
        <v>0.11617461168282932</v>
      </c>
      <c r="K30" s="27">
        <v>0</v>
      </c>
      <c r="L30" s="27">
        <v>8.5707530440950336E-2</v>
      </c>
      <c r="N30" s="73"/>
      <c r="R30" s="49">
        <v>37725</v>
      </c>
      <c r="S30">
        <v>73873</v>
      </c>
      <c r="T30">
        <v>20066</v>
      </c>
      <c r="U30">
        <v>85</v>
      </c>
      <c r="V30">
        <v>0</v>
      </c>
      <c r="W30">
        <v>747</v>
      </c>
      <c r="X30" s="27">
        <v>0.28217237757447522</v>
      </c>
      <c r="Z30" s="73"/>
      <c r="AD30" s="49">
        <v>20138</v>
      </c>
      <c r="AE30">
        <v>38071</v>
      </c>
      <c r="AF30">
        <v>12274</v>
      </c>
      <c r="AG30">
        <v>12825</v>
      </c>
      <c r="AH30">
        <v>0</v>
      </c>
      <c r="AI30">
        <v>0</v>
      </c>
      <c r="AJ30" s="27">
        <v>0.17820182168391496</v>
      </c>
      <c r="AL30" s="73"/>
      <c r="AP30" s="49">
        <v>26612.400000000001</v>
      </c>
      <c r="AQ30">
        <v>43950</v>
      </c>
      <c r="AR30">
        <v>22581</v>
      </c>
      <c r="AS30">
        <v>0</v>
      </c>
      <c r="AT30">
        <v>0</v>
      </c>
      <c r="AU30">
        <v>0</v>
      </c>
      <c r="AV30" s="27">
        <v>7.9232174490699733E-2</v>
      </c>
      <c r="AX30" s="73"/>
      <c r="BB30" s="49">
        <v>26732.800000000003</v>
      </c>
      <c r="BC30">
        <v>52173</v>
      </c>
      <c r="BD30">
        <v>14659</v>
      </c>
      <c r="BE30">
        <v>0</v>
      </c>
      <c r="BF30">
        <v>0</v>
      </c>
      <c r="BG30">
        <v>0</v>
      </c>
      <c r="BH30" s="27">
        <v>5.3290647930418863E-2</v>
      </c>
      <c r="BJ30" s="73"/>
      <c r="BN30" s="49">
        <v>38189.200000000004</v>
      </c>
      <c r="BO30">
        <v>80641</v>
      </c>
      <c r="BP30">
        <v>14832</v>
      </c>
      <c r="BQ30">
        <v>12183</v>
      </c>
      <c r="BR30">
        <v>0</v>
      </c>
      <c r="BS30">
        <v>0</v>
      </c>
      <c r="BT30" s="27">
        <v>6.5446999285427479E-2</v>
      </c>
      <c r="BV30" s="73"/>
      <c r="BZ30" s="49">
        <v>20584.400000000001</v>
      </c>
      <c r="CA30">
        <v>36723</v>
      </c>
      <c r="CB30">
        <v>14738</v>
      </c>
      <c r="CC30">
        <v>11299</v>
      </c>
      <c r="CD30">
        <v>0</v>
      </c>
      <c r="CE30">
        <v>0</v>
      </c>
      <c r="CF30" s="27">
        <v>3.6040086166526111E-2</v>
      </c>
      <c r="CH30" s="73"/>
      <c r="CL30" s="49">
        <v>15771.2</v>
      </c>
      <c r="CM30">
        <v>23281</v>
      </c>
      <c r="CN30">
        <v>16147</v>
      </c>
      <c r="CO30">
        <v>10163</v>
      </c>
      <c r="CP30">
        <v>0</v>
      </c>
      <c r="CQ30">
        <v>0</v>
      </c>
      <c r="CR30" s="27">
        <v>0.14930525589022178</v>
      </c>
      <c r="CT30" s="73"/>
      <c r="CV30" s="152"/>
      <c r="CW30" s="27">
        <v>0.11617461168282932</v>
      </c>
      <c r="CX30" s="27">
        <v>0</v>
      </c>
      <c r="CY30" s="152"/>
      <c r="CZ30" s="152"/>
      <c r="DA30" s="152"/>
      <c r="DB30" s="152"/>
      <c r="DC30" s="152"/>
      <c r="DD30" s="152"/>
    </row>
    <row r="31" spans="1:207" ht="14.4" hidden="1" customHeight="1" x14ac:dyDescent="0.3">
      <c r="A31" s="151"/>
      <c r="B31" s="60"/>
      <c r="C31" s="23"/>
      <c r="D31" s="24">
        <v>12442.8</v>
      </c>
      <c r="E31">
        <v>20581</v>
      </c>
      <c r="F31">
        <v>10526</v>
      </c>
      <c r="G31">
        <v>0</v>
      </c>
      <c r="H31">
        <v>0</v>
      </c>
      <c r="I31">
        <v>0</v>
      </c>
      <c r="J31" s="27">
        <v>0.11811368052949396</v>
      </c>
      <c r="K31" s="27">
        <v>0</v>
      </c>
      <c r="L31" s="27">
        <v>8.0653741577018587E-2</v>
      </c>
      <c r="N31" s="73"/>
      <c r="R31" s="49">
        <v>38023.199999999997</v>
      </c>
      <c r="S31">
        <v>74488</v>
      </c>
      <c r="T31">
        <v>20102</v>
      </c>
      <c r="U31">
        <v>63</v>
      </c>
      <c r="V31">
        <v>0</v>
      </c>
      <c r="W31">
        <v>936</v>
      </c>
      <c r="X31" s="27">
        <v>0.27649825704412961</v>
      </c>
      <c r="Z31" s="73"/>
      <c r="AD31" s="49">
        <v>20047.2</v>
      </c>
      <c r="AE31">
        <v>37852</v>
      </c>
      <c r="AF31">
        <v>12266</v>
      </c>
      <c r="AG31">
        <v>12279</v>
      </c>
      <c r="AH31">
        <v>0</v>
      </c>
      <c r="AI31">
        <v>0</v>
      </c>
      <c r="AJ31" s="27">
        <v>0.18190721817766309</v>
      </c>
      <c r="AL31" s="73"/>
      <c r="AP31" s="49">
        <v>26388.400000000001</v>
      </c>
      <c r="AQ31">
        <v>43467</v>
      </c>
      <c r="AR31">
        <v>22504</v>
      </c>
      <c r="AS31">
        <v>19282</v>
      </c>
      <c r="AT31">
        <v>0</v>
      </c>
      <c r="AU31">
        <v>0</v>
      </c>
      <c r="AV31" s="27">
        <v>8.6982395925597866E-2</v>
      </c>
      <c r="AX31" s="73"/>
      <c r="BB31" s="49">
        <v>26650.400000000001</v>
      </c>
      <c r="BC31">
        <v>52008</v>
      </c>
      <c r="BD31">
        <v>14618</v>
      </c>
      <c r="BE31">
        <v>0</v>
      </c>
      <c r="BF31">
        <v>0</v>
      </c>
      <c r="BG31">
        <v>0</v>
      </c>
      <c r="BH31" s="27">
        <v>5.6208742952658763E-2</v>
      </c>
      <c r="BJ31" s="73"/>
      <c r="BN31" s="49">
        <v>38189.200000000004</v>
      </c>
      <c r="BO31">
        <v>80641</v>
      </c>
      <c r="BP31">
        <v>14832</v>
      </c>
      <c r="BQ31">
        <v>12126</v>
      </c>
      <c r="BR31">
        <v>0</v>
      </c>
      <c r="BS31">
        <v>0</v>
      </c>
      <c r="BT31" s="27">
        <v>6.5446999285427479E-2</v>
      </c>
      <c r="BV31" s="73"/>
      <c r="BZ31" s="49">
        <v>20584.400000000001</v>
      </c>
      <c r="CA31">
        <v>36723</v>
      </c>
      <c r="CB31">
        <v>14738</v>
      </c>
      <c r="CC31">
        <v>11299</v>
      </c>
      <c r="CD31">
        <v>0</v>
      </c>
      <c r="CE31">
        <v>0</v>
      </c>
      <c r="CF31" s="27">
        <v>3.6040086166526111E-2</v>
      </c>
      <c r="CH31" s="73"/>
      <c r="CL31" s="49">
        <v>15551.2</v>
      </c>
      <c r="CM31">
        <v>22757</v>
      </c>
      <c r="CN31">
        <v>16121</v>
      </c>
      <c r="CO31">
        <v>8337</v>
      </c>
      <c r="CP31">
        <v>0</v>
      </c>
      <c r="CQ31">
        <v>0</v>
      </c>
      <c r="CR31" s="27">
        <v>0.16117200310693017</v>
      </c>
      <c r="CT31" s="73"/>
      <c r="CV31" s="152"/>
      <c r="CW31" s="27">
        <v>0.11811368052949396</v>
      </c>
      <c r="CX31" s="27">
        <v>0</v>
      </c>
      <c r="CY31" s="152"/>
      <c r="CZ31" s="152"/>
      <c r="DA31" s="152"/>
      <c r="DB31" s="152"/>
      <c r="DC31" s="152"/>
      <c r="DD31" s="152"/>
    </row>
    <row r="32" spans="1:207" s="55" customFormat="1" x14ac:dyDescent="0.3">
      <c r="A32" s="52" t="s">
        <v>31</v>
      </c>
      <c r="B32" s="53" t="s">
        <v>45</v>
      </c>
      <c r="C32" s="53">
        <v>22829</v>
      </c>
      <c r="D32" s="54">
        <v>12597.36</v>
      </c>
      <c r="E32" s="55">
        <v>21042</v>
      </c>
      <c r="F32" s="55">
        <v>10451.4</v>
      </c>
      <c r="G32" s="55">
        <v>0</v>
      </c>
      <c r="H32" s="55">
        <v>0</v>
      </c>
      <c r="I32" s="55">
        <v>0</v>
      </c>
      <c r="J32" s="27">
        <v>0.11429439073953222</v>
      </c>
      <c r="K32" s="27">
        <v>5.5054141434573677E-3</v>
      </c>
      <c r="L32" s="27">
        <v>6.9233952003782878E-2</v>
      </c>
      <c r="M32" s="27">
        <v>1.3533549245054378E-2</v>
      </c>
      <c r="N32" s="73">
        <v>7.8277629331113929E-2</v>
      </c>
      <c r="O32" s="27" t="e">
        <v>#DIV/0!</v>
      </c>
      <c r="P32" s="65">
        <v>52554.400000000001</v>
      </c>
      <c r="Q32" s="26">
        <v>81057</v>
      </c>
      <c r="R32" s="49">
        <v>38454.880000000005</v>
      </c>
      <c r="S32">
        <v>75498.600000000006</v>
      </c>
      <c r="T32">
        <v>20274</v>
      </c>
      <c r="U32">
        <v>801.8</v>
      </c>
      <c r="V32">
        <v>0</v>
      </c>
      <c r="W32">
        <v>729.2</v>
      </c>
      <c r="X32" s="27">
        <v>0.2682842920859147</v>
      </c>
      <c r="Y32" s="27">
        <v>1.088760806198011E-2</v>
      </c>
      <c r="Z32" s="73">
        <v>6.8573966468040939E-2</v>
      </c>
      <c r="AA32" s="27" t="e">
        <v>#DIV/0!</v>
      </c>
      <c r="AB32" s="63">
        <v>24504.799999999999</v>
      </c>
      <c r="AC32">
        <v>48120</v>
      </c>
      <c r="AD32" s="49">
        <v>20071.04</v>
      </c>
      <c r="AE32">
        <v>37920.199999999997</v>
      </c>
      <c r="AF32">
        <v>12257.4</v>
      </c>
      <c r="AG32">
        <v>12386</v>
      </c>
      <c r="AH32">
        <v>0</v>
      </c>
      <c r="AI32">
        <v>0</v>
      </c>
      <c r="AJ32" s="27">
        <v>0.18093434755639706</v>
      </c>
      <c r="AK32" s="27">
        <v>3.2699387743617163E-3</v>
      </c>
      <c r="AL32" s="73">
        <v>0.21196591853699093</v>
      </c>
      <c r="AM32" s="27" t="e">
        <v>#DIV/0!</v>
      </c>
      <c r="AN32" s="65">
        <v>28902.400000000001</v>
      </c>
      <c r="AO32">
        <v>48676</v>
      </c>
      <c r="AP32" s="49">
        <v>26550.640000000003</v>
      </c>
      <c r="AQ32">
        <v>43835.8</v>
      </c>
      <c r="AR32">
        <v>22540.799999999999</v>
      </c>
      <c r="AS32">
        <v>11561.2</v>
      </c>
      <c r="AT32">
        <v>0</v>
      </c>
      <c r="AU32">
        <v>0</v>
      </c>
      <c r="AV32" s="27">
        <v>8.1369021257750168E-2</v>
      </c>
      <c r="AW32" s="27">
        <v>6.6651723297537985E-3</v>
      </c>
      <c r="AX32" s="73">
        <v>9.9437094255896072E-2</v>
      </c>
      <c r="AY32" s="27" t="e">
        <v>#DIV/0!</v>
      </c>
      <c r="AZ32" s="65">
        <v>28237.599999999999</v>
      </c>
      <c r="BA32">
        <v>55474</v>
      </c>
      <c r="BB32" s="49">
        <v>26649.599999999999</v>
      </c>
      <c r="BC32">
        <v>51950.2</v>
      </c>
      <c r="BD32">
        <v>14673.8</v>
      </c>
      <c r="BE32">
        <v>0</v>
      </c>
      <c r="BF32">
        <v>0</v>
      </c>
      <c r="BG32">
        <v>0</v>
      </c>
      <c r="BH32" s="27">
        <v>5.6237073972292266E-2</v>
      </c>
      <c r="BI32" s="27">
        <v>2.3004674548179498E-3</v>
      </c>
      <c r="BJ32" s="73">
        <v>6.3521649781879852E-2</v>
      </c>
      <c r="BK32" s="27" t="e">
        <v>#DIV/0!</v>
      </c>
      <c r="BL32" s="65">
        <v>40863.599999999999</v>
      </c>
      <c r="BM32">
        <v>86423</v>
      </c>
      <c r="BN32" s="49">
        <v>38193.760000000009</v>
      </c>
      <c r="BO32">
        <v>80651.600000000006</v>
      </c>
      <c r="BP32">
        <v>14832.8</v>
      </c>
      <c r="BQ32">
        <v>12114.6</v>
      </c>
      <c r="BR32">
        <v>0</v>
      </c>
      <c r="BS32">
        <v>0</v>
      </c>
      <c r="BT32" s="83">
        <v>6.5335408529840475E-2</v>
      </c>
      <c r="BU32" s="83">
        <v>1.5471042668879521E-4</v>
      </c>
      <c r="BV32" s="73">
        <v>6.6780833805815509E-2</v>
      </c>
      <c r="BW32" s="27" t="e">
        <v>#DIV/0!</v>
      </c>
      <c r="BX32" s="65">
        <v>21354</v>
      </c>
      <c r="BY32">
        <v>38534</v>
      </c>
      <c r="BZ32" s="49">
        <v>20563.68</v>
      </c>
      <c r="CA32">
        <v>36673.800000000003</v>
      </c>
      <c r="CB32">
        <v>14735.4</v>
      </c>
      <c r="CC32">
        <v>10842.4</v>
      </c>
      <c r="CD32">
        <v>0</v>
      </c>
      <c r="CE32">
        <v>0</v>
      </c>
      <c r="CF32" s="27">
        <v>3.7010396178701867E-2</v>
      </c>
      <c r="CG32" s="27">
        <v>1.8123192877659701E-3</v>
      </c>
      <c r="CH32" s="73">
        <v>4.8274251310530883E-2</v>
      </c>
      <c r="CI32" s="27" t="e">
        <v>#DIV/0!</v>
      </c>
      <c r="CJ32" s="63">
        <v>18539.2</v>
      </c>
      <c r="CK32">
        <v>28067</v>
      </c>
      <c r="CL32" s="49">
        <v>15648</v>
      </c>
      <c r="CM32">
        <v>22987.4</v>
      </c>
      <c r="CN32">
        <v>16132.6</v>
      </c>
      <c r="CO32">
        <v>8986.7999999999993</v>
      </c>
      <c r="CP32">
        <v>0</v>
      </c>
      <c r="CQ32">
        <v>0</v>
      </c>
      <c r="CR32" s="27">
        <v>0.15595063433157852</v>
      </c>
      <c r="CS32" s="27">
        <v>5.4195475672362201E-3</v>
      </c>
      <c r="CT32" s="73">
        <v>0.18098122350090848</v>
      </c>
      <c r="CU32" s="27" t="e">
        <v>#DIV/0!</v>
      </c>
      <c r="CV32"/>
      <c r="CW32" s="27">
        <v>0.11429439073953222</v>
      </c>
      <c r="CX32" s="27">
        <v>5.5054141434573677E-3</v>
      </c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GV32" s="55" t="e">
        <v>#DIV/0!</v>
      </c>
      <c r="GW32" s="55" t="e">
        <v>#DIV/0!</v>
      </c>
      <c r="GX32" s="55" t="e">
        <v>#DIV/0!</v>
      </c>
      <c r="GY32" s="55" t="e">
        <v>#DIV/0!</v>
      </c>
    </row>
    <row r="33" spans="1:136" ht="14.4" hidden="1" customHeight="1" x14ac:dyDescent="0.3">
      <c r="A33" s="150" t="s">
        <v>33</v>
      </c>
      <c r="B33" s="61"/>
      <c r="C33" s="18"/>
      <c r="D33" s="24">
        <v>12426.400000000001</v>
      </c>
      <c r="E33">
        <v>20547</v>
      </c>
      <c r="F33">
        <v>10519</v>
      </c>
      <c r="G33">
        <v>0</v>
      </c>
      <c r="H33">
        <v>0</v>
      </c>
      <c r="I33">
        <v>0</v>
      </c>
      <c r="J33" s="27">
        <v>0.11573715564814747</v>
      </c>
      <c r="K33" s="27">
        <v>0</v>
      </c>
      <c r="L33" s="27">
        <v>8.1865468731528418E-2</v>
      </c>
      <c r="N33" s="73"/>
      <c r="R33" s="49">
        <v>37803.200000000004</v>
      </c>
      <c r="S33">
        <v>73954</v>
      </c>
      <c r="T33">
        <v>20014</v>
      </c>
      <c r="U33">
        <v>487</v>
      </c>
      <c r="V33">
        <v>0</v>
      </c>
      <c r="W33">
        <v>1080</v>
      </c>
      <c r="X33" s="27">
        <v>0.28068439559770442</v>
      </c>
      <c r="Z33" s="73"/>
      <c r="AD33" s="49">
        <v>20048.800000000003</v>
      </c>
      <c r="AE33">
        <v>37853</v>
      </c>
      <c r="AF33">
        <v>12269</v>
      </c>
      <c r="AG33">
        <v>12671</v>
      </c>
      <c r="AH33">
        <v>0</v>
      </c>
      <c r="AI33">
        <v>0</v>
      </c>
      <c r="AJ33" s="27">
        <v>0.18184192484737668</v>
      </c>
      <c r="AL33" s="73"/>
      <c r="AP33" s="49">
        <v>26636.800000000003</v>
      </c>
      <c r="AQ33">
        <v>43986</v>
      </c>
      <c r="AR33">
        <v>22606</v>
      </c>
      <c r="AS33">
        <v>25030</v>
      </c>
      <c r="AT33">
        <v>0</v>
      </c>
      <c r="AU33">
        <v>0</v>
      </c>
      <c r="AV33" s="27">
        <v>7.8356065796120547E-2</v>
      </c>
      <c r="AX33" s="73"/>
      <c r="BB33" s="49">
        <v>26732.800000000003</v>
      </c>
      <c r="BC33">
        <v>52173</v>
      </c>
      <c r="BD33">
        <v>14659</v>
      </c>
      <c r="BE33">
        <v>0</v>
      </c>
      <c r="BF33">
        <v>0</v>
      </c>
      <c r="BG33">
        <v>0</v>
      </c>
      <c r="BH33" s="27">
        <v>5.3257120191524322E-2</v>
      </c>
      <c r="BJ33" s="73"/>
      <c r="BN33" s="49">
        <v>38223.199999999997</v>
      </c>
      <c r="BO33">
        <v>80720</v>
      </c>
      <c r="BP33">
        <v>14838</v>
      </c>
      <c r="BQ33">
        <v>12077</v>
      </c>
      <c r="BR33">
        <v>0</v>
      </c>
      <c r="BS33">
        <v>0</v>
      </c>
      <c r="BT33" s="27">
        <v>6.4592071968009909E-2</v>
      </c>
      <c r="BV33" s="73"/>
      <c r="BZ33" s="49">
        <v>20584.400000000001</v>
      </c>
      <c r="CA33">
        <v>36723</v>
      </c>
      <c r="CB33">
        <v>14738</v>
      </c>
      <c r="CC33">
        <v>11299</v>
      </c>
      <c r="CD33">
        <v>0</v>
      </c>
      <c r="CE33">
        <v>0</v>
      </c>
      <c r="CF33" s="27">
        <v>3.5994942162693701E-2</v>
      </c>
      <c r="CH33" s="73"/>
      <c r="CL33" s="49">
        <v>15771.2</v>
      </c>
      <c r="CM33">
        <v>23281</v>
      </c>
      <c r="CN33">
        <v>16147</v>
      </c>
      <c r="CO33">
        <v>10163</v>
      </c>
      <c r="CP33">
        <v>0</v>
      </c>
      <c r="CQ33">
        <v>0</v>
      </c>
      <c r="CR33" s="27">
        <v>0.14930525589022178</v>
      </c>
      <c r="CT33" s="73"/>
      <c r="CV33" s="152"/>
      <c r="CW33" s="27">
        <v>0.11573715564814747</v>
      </c>
      <c r="CX33" s="27">
        <v>0</v>
      </c>
      <c r="CY33" s="152"/>
      <c r="CZ33" s="152"/>
      <c r="DA33" s="152"/>
      <c r="DB33" s="152"/>
      <c r="DC33" s="152"/>
      <c r="DD33" s="152"/>
    </row>
    <row r="34" spans="1:136" ht="20.399999999999999" hidden="1" customHeight="1" thickBot="1" x14ac:dyDescent="0.35">
      <c r="A34" s="151"/>
      <c r="B34" s="61"/>
      <c r="C34" s="18"/>
      <c r="D34" s="24">
        <v>12426.400000000001</v>
      </c>
      <c r="E34">
        <v>20547</v>
      </c>
      <c r="F34">
        <v>10519</v>
      </c>
      <c r="G34">
        <v>0</v>
      </c>
      <c r="H34">
        <v>0</v>
      </c>
      <c r="I34">
        <v>0</v>
      </c>
      <c r="J34" s="27">
        <v>0.1170371630597189</v>
      </c>
      <c r="K34" s="27">
        <v>0</v>
      </c>
      <c r="L34" s="27">
        <v>8.1865468731528418E-2</v>
      </c>
      <c r="N34" s="73"/>
      <c r="R34" s="49">
        <v>38955.599999999999</v>
      </c>
      <c r="S34">
        <v>76658</v>
      </c>
      <c r="T34">
        <v>20455</v>
      </c>
      <c r="U34">
        <v>1590</v>
      </c>
      <c r="V34">
        <v>0</v>
      </c>
      <c r="W34">
        <v>552</v>
      </c>
      <c r="X34" s="27">
        <v>0.25875664073797822</v>
      </c>
      <c r="Z34" s="73"/>
      <c r="AD34" s="49">
        <v>19962.8</v>
      </c>
      <c r="AE34">
        <v>37680</v>
      </c>
      <c r="AF34">
        <v>12227</v>
      </c>
      <c r="AG34">
        <v>12670</v>
      </c>
      <c r="AH34">
        <v>0</v>
      </c>
      <c r="AI34">
        <v>0</v>
      </c>
      <c r="AJ34" s="27">
        <v>0.18535144135026607</v>
      </c>
      <c r="AL34" s="73"/>
      <c r="AP34" s="49">
        <v>26297.599999999999</v>
      </c>
      <c r="AQ34">
        <v>43282</v>
      </c>
      <c r="AR34">
        <v>22462</v>
      </c>
      <c r="AS34">
        <v>20225</v>
      </c>
      <c r="AT34">
        <v>0</v>
      </c>
      <c r="AU34">
        <v>0</v>
      </c>
      <c r="AV34" s="27">
        <v>9.0092521469548284E-2</v>
      </c>
      <c r="AX34" s="73"/>
      <c r="BB34" s="49">
        <v>26586</v>
      </c>
      <c r="BC34">
        <v>51740</v>
      </c>
      <c r="BD34">
        <v>14725</v>
      </c>
      <c r="BE34">
        <v>0</v>
      </c>
      <c r="BF34">
        <v>0</v>
      </c>
      <c r="BG34">
        <v>0</v>
      </c>
      <c r="BH34" s="27">
        <v>5.8456046407853589E-2</v>
      </c>
      <c r="BJ34" s="73"/>
      <c r="BN34" s="49">
        <v>38190.800000000003</v>
      </c>
      <c r="BO34">
        <v>80641</v>
      </c>
      <c r="BP34">
        <v>14836</v>
      </c>
      <c r="BQ34">
        <v>12211</v>
      </c>
      <c r="BR34">
        <v>0</v>
      </c>
      <c r="BS34">
        <v>0</v>
      </c>
      <c r="BT34" s="27">
        <v>6.538497305604625E-2</v>
      </c>
      <c r="BV34" s="73"/>
      <c r="BZ34" s="49">
        <v>20584.400000000001</v>
      </c>
      <c r="CA34">
        <v>36723</v>
      </c>
      <c r="CB34">
        <v>14738</v>
      </c>
      <c r="CC34">
        <v>11299</v>
      </c>
      <c r="CD34">
        <v>0</v>
      </c>
      <c r="CE34">
        <v>0</v>
      </c>
      <c r="CF34" s="27">
        <v>3.5994942162693701E-2</v>
      </c>
      <c r="CH34" s="73"/>
      <c r="CL34" s="49">
        <v>15565.6</v>
      </c>
      <c r="CM34">
        <v>22791</v>
      </c>
      <c r="CN34">
        <v>16123</v>
      </c>
      <c r="CO34">
        <v>9360</v>
      </c>
      <c r="CP34">
        <v>0</v>
      </c>
      <c r="CQ34">
        <v>0</v>
      </c>
      <c r="CR34" s="27">
        <v>0.16039527056183656</v>
      </c>
      <c r="CT34" s="73"/>
      <c r="CV34" s="152"/>
      <c r="CW34" s="27">
        <v>0.1170371630597189</v>
      </c>
      <c r="CX34" s="27">
        <v>0</v>
      </c>
      <c r="CY34" s="152"/>
      <c r="CZ34" s="152"/>
      <c r="DA34" s="152"/>
      <c r="DB34" s="152"/>
      <c r="DC34" s="152"/>
      <c r="DD34" s="152"/>
    </row>
    <row r="35" spans="1:136" ht="14.4" hidden="1" customHeight="1" x14ac:dyDescent="0.3">
      <c r="A35" s="151"/>
      <c r="B35" s="61"/>
      <c r="C35" s="18"/>
      <c r="D35" s="24">
        <v>12798</v>
      </c>
      <c r="E35">
        <v>21632</v>
      </c>
      <c r="F35">
        <v>10363</v>
      </c>
      <c r="G35">
        <v>0</v>
      </c>
      <c r="H35">
        <v>0</v>
      </c>
      <c r="I35">
        <v>0</v>
      </c>
      <c r="J35" s="27">
        <v>0.11299721764596973</v>
      </c>
      <c r="K35" s="27">
        <v>0</v>
      </c>
      <c r="L35" s="27">
        <v>5.4409504669582665E-2</v>
      </c>
      <c r="N35" s="73"/>
      <c r="R35" s="49">
        <v>38557.200000000004</v>
      </c>
      <c r="S35">
        <v>75779</v>
      </c>
      <c r="T35">
        <v>20338</v>
      </c>
      <c r="U35">
        <v>1599</v>
      </c>
      <c r="V35">
        <v>0</v>
      </c>
      <c r="W35">
        <v>552</v>
      </c>
      <c r="X35" s="27">
        <v>0.26633735710045203</v>
      </c>
      <c r="Z35" s="73"/>
      <c r="AD35" s="49">
        <v>19962.400000000001</v>
      </c>
      <c r="AE35">
        <v>37680</v>
      </c>
      <c r="AF35">
        <v>12226</v>
      </c>
      <c r="AG35">
        <v>11669</v>
      </c>
      <c r="AH35">
        <v>0</v>
      </c>
      <c r="AI35">
        <v>0</v>
      </c>
      <c r="AJ35" s="27">
        <v>0.18536776468283755</v>
      </c>
      <c r="AL35" s="73"/>
      <c r="AP35" s="49">
        <v>26542.400000000001</v>
      </c>
      <c r="AQ35">
        <v>43778</v>
      </c>
      <c r="AR35">
        <v>22578</v>
      </c>
      <c r="AS35">
        <v>19229</v>
      </c>
      <c r="AT35">
        <v>0</v>
      </c>
      <c r="AU35">
        <v>0</v>
      </c>
      <c r="AV35" s="27">
        <v>8.1622343554291488E-2</v>
      </c>
      <c r="AX35" s="73"/>
      <c r="BB35" s="49">
        <v>26736.800000000003</v>
      </c>
      <c r="BC35">
        <v>52212</v>
      </c>
      <c r="BD35">
        <v>14630</v>
      </c>
      <c r="BE35">
        <v>0</v>
      </c>
      <c r="BF35">
        <v>0</v>
      </c>
      <c r="BG35">
        <v>0</v>
      </c>
      <c r="BH35" s="27">
        <v>5.311546007663797E-2</v>
      </c>
      <c r="BJ35" s="73"/>
      <c r="BN35" s="49">
        <v>38339.599999999999</v>
      </c>
      <c r="BO35">
        <v>81038</v>
      </c>
      <c r="BP35">
        <v>14811</v>
      </c>
      <c r="BQ35">
        <v>12280</v>
      </c>
      <c r="BR35">
        <v>0</v>
      </c>
      <c r="BS35">
        <v>0</v>
      </c>
      <c r="BT35" s="27">
        <v>6.174350139247136E-2</v>
      </c>
      <c r="BV35" s="73"/>
      <c r="BZ35" s="49">
        <v>20494.400000000001</v>
      </c>
      <c r="CA35">
        <v>36508</v>
      </c>
      <c r="CB35">
        <v>14728</v>
      </c>
      <c r="CC35">
        <v>11304</v>
      </c>
      <c r="CD35">
        <v>0</v>
      </c>
      <c r="CE35">
        <v>0</v>
      </c>
      <c r="CF35" s="27">
        <v>4.0209806584554794E-2</v>
      </c>
      <c r="CH35" s="73"/>
      <c r="CL35" s="49">
        <v>15551.2</v>
      </c>
      <c r="CM35">
        <v>22757</v>
      </c>
      <c r="CN35">
        <v>16121</v>
      </c>
      <c r="CO35">
        <v>11242</v>
      </c>
      <c r="CP35">
        <v>0</v>
      </c>
      <c r="CQ35">
        <v>0</v>
      </c>
      <c r="CR35" s="27">
        <v>0.16117200310693017</v>
      </c>
      <c r="CT35" s="73"/>
      <c r="CV35" s="152"/>
      <c r="CW35" s="27">
        <v>0.11299721764596973</v>
      </c>
      <c r="CX35" s="27">
        <v>0</v>
      </c>
      <c r="CY35" s="152"/>
      <c r="CZ35" s="152"/>
      <c r="DA35" s="152"/>
      <c r="DB35" s="152"/>
      <c r="DC35" s="152"/>
      <c r="DD35" s="152"/>
    </row>
    <row r="36" spans="1:136" ht="14.4" hidden="1" customHeight="1" x14ac:dyDescent="0.3">
      <c r="A36" s="151"/>
      <c r="B36" s="61"/>
      <c r="C36" s="18"/>
      <c r="D36" s="24">
        <v>12740.8</v>
      </c>
      <c r="E36">
        <v>21375</v>
      </c>
      <c r="F36">
        <v>10477</v>
      </c>
      <c r="G36">
        <v>0</v>
      </c>
      <c r="H36">
        <v>0</v>
      </c>
      <c r="I36">
        <v>0</v>
      </c>
      <c r="J36" s="27">
        <v>0.11637153591366189</v>
      </c>
      <c r="K36" s="27">
        <v>0</v>
      </c>
      <c r="L36" s="27">
        <v>5.8635772549946834E-2</v>
      </c>
      <c r="N36" s="73"/>
      <c r="R36" s="49">
        <v>37763.000000000007</v>
      </c>
      <c r="S36">
        <v>73962</v>
      </c>
      <c r="T36">
        <v>20056</v>
      </c>
      <c r="U36">
        <v>0</v>
      </c>
      <c r="V36">
        <v>0</v>
      </c>
      <c r="W36">
        <v>779</v>
      </c>
      <c r="X36" s="27">
        <v>0.28144931727885758</v>
      </c>
      <c r="Z36" s="73"/>
      <c r="AD36" s="49">
        <v>20047.2</v>
      </c>
      <c r="AE36">
        <v>37852</v>
      </c>
      <c r="AF36">
        <v>12266</v>
      </c>
      <c r="AG36">
        <v>12249</v>
      </c>
      <c r="AH36">
        <v>0</v>
      </c>
      <c r="AI36">
        <v>0</v>
      </c>
      <c r="AJ36" s="27">
        <v>0.18190721817766309</v>
      </c>
      <c r="AL36" s="73"/>
      <c r="AP36" s="49">
        <v>26374.800000000003</v>
      </c>
      <c r="AQ36">
        <v>43426</v>
      </c>
      <c r="AR36">
        <v>22511</v>
      </c>
      <c r="AS36">
        <v>19258</v>
      </c>
      <c r="AT36">
        <v>0</v>
      </c>
      <c r="AU36">
        <v>0</v>
      </c>
      <c r="AV36" s="27">
        <v>8.7421370591043976E-2</v>
      </c>
      <c r="AX36" s="73"/>
      <c r="BB36" s="49">
        <v>26586</v>
      </c>
      <c r="BC36">
        <v>51740</v>
      </c>
      <c r="BD36">
        <v>14725</v>
      </c>
      <c r="BE36">
        <v>0</v>
      </c>
      <c r="BF36">
        <v>0</v>
      </c>
      <c r="BG36">
        <v>0</v>
      </c>
      <c r="BH36" s="27">
        <v>5.8456046407853589E-2</v>
      </c>
      <c r="BJ36" s="73"/>
      <c r="BN36" s="49">
        <v>38210.400000000001</v>
      </c>
      <c r="BO36">
        <v>80694</v>
      </c>
      <c r="BP36">
        <v>14832</v>
      </c>
      <c r="BQ36">
        <v>12293</v>
      </c>
      <c r="BR36">
        <v>0</v>
      </c>
      <c r="BS36">
        <v>0</v>
      </c>
      <c r="BT36" s="27">
        <v>6.4905316842295821E-2</v>
      </c>
      <c r="BV36" s="73"/>
      <c r="BZ36" s="49">
        <v>20562.400000000001</v>
      </c>
      <c r="CA36">
        <v>36671</v>
      </c>
      <c r="CB36">
        <v>14735</v>
      </c>
      <c r="CC36">
        <v>11297</v>
      </c>
      <c r="CD36">
        <v>0</v>
      </c>
      <c r="CE36">
        <v>0</v>
      </c>
      <c r="CF36" s="27">
        <v>3.702524235470419E-2</v>
      </c>
      <c r="CH36" s="73"/>
      <c r="CL36" s="49">
        <v>15551.2</v>
      </c>
      <c r="CM36">
        <v>22757</v>
      </c>
      <c r="CN36">
        <v>16121</v>
      </c>
      <c r="CO36">
        <v>10216</v>
      </c>
      <c r="CP36">
        <v>0</v>
      </c>
      <c r="CQ36">
        <v>0</v>
      </c>
      <c r="CR36" s="27">
        <v>0.16117200310693017</v>
      </c>
      <c r="CT36" s="73"/>
      <c r="CV36" s="152"/>
      <c r="CW36" s="27">
        <v>0.11637153591366189</v>
      </c>
      <c r="CX36" s="27">
        <v>0</v>
      </c>
      <c r="CY36" s="152"/>
      <c r="CZ36" s="152"/>
      <c r="DA36" s="152"/>
      <c r="DB36" s="152"/>
      <c r="DC36" s="152"/>
      <c r="DD36" s="152"/>
    </row>
    <row r="37" spans="1:136" ht="14.4" hidden="1" customHeight="1" x14ac:dyDescent="0.3">
      <c r="A37" s="151"/>
      <c r="B37" s="61"/>
      <c r="C37" s="18"/>
      <c r="D37" s="24">
        <v>12874.400000000001</v>
      </c>
      <c r="E37">
        <v>21690</v>
      </c>
      <c r="F37">
        <v>10496</v>
      </c>
      <c r="G37">
        <v>0</v>
      </c>
      <c r="H37">
        <v>0</v>
      </c>
      <c r="I37">
        <v>0</v>
      </c>
      <c r="J37" s="27">
        <v>0.11246143788268041</v>
      </c>
      <c r="K37" s="27">
        <v>0</v>
      </c>
      <c r="L37" s="27">
        <v>4.8764629388816511E-2</v>
      </c>
      <c r="N37" s="73"/>
      <c r="R37" s="49">
        <v>38422.6</v>
      </c>
      <c r="S37">
        <v>75375</v>
      </c>
      <c r="T37">
        <v>20180</v>
      </c>
      <c r="U37">
        <v>36</v>
      </c>
      <c r="V37">
        <v>0</v>
      </c>
      <c r="W37">
        <v>1003</v>
      </c>
      <c r="X37" s="27">
        <v>0.2688985127791394</v>
      </c>
      <c r="Z37" s="73"/>
      <c r="AD37" s="49">
        <v>20068</v>
      </c>
      <c r="AE37">
        <v>37906</v>
      </c>
      <c r="AF37">
        <v>12264</v>
      </c>
      <c r="AG37">
        <v>12833</v>
      </c>
      <c r="AH37">
        <v>0</v>
      </c>
      <c r="AI37">
        <v>0</v>
      </c>
      <c r="AJ37" s="27">
        <v>0.18105840488394109</v>
      </c>
      <c r="AL37" s="73"/>
      <c r="AP37" s="49">
        <v>26612.400000000001</v>
      </c>
      <c r="AQ37">
        <v>43950</v>
      </c>
      <c r="AR37">
        <v>22581</v>
      </c>
      <c r="AS37">
        <v>0</v>
      </c>
      <c r="AT37">
        <v>0</v>
      </c>
      <c r="AU37">
        <v>0</v>
      </c>
      <c r="AV37" s="27">
        <v>7.9200315555647813E-2</v>
      </c>
      <c r="AX37" s="73"/>
      <c r="BB37" s="49">
        <v>26586</v>
      </c>
      <c r="BC37">
        <v>51740</v>
      </c>
      <c r="BD37">
        <v>14725</v>
      </c>
      <c r="BE37">
        <v>0</v>
      </c>
      <c r="BF37">
        <v>0</v>
      </c>
      <c r="BG37">
        <v>0</v>
      </c>
      <c r="BH37" s="27">
        <v>5.8456046407853589E-2</v>
      </c>
      <c r="BJ37" s="73"/>
      <c r="BN37" s="49">
        <v>38215.200000000004</v>
      </c>
      <c r="BO37">
        <v>80694</v>
      </c>
      <c r="BP37">
        <v>14844</v>
      </c>
      <c r="BQ37">
        <v>12270</v>
      </c>
      <c r="BR37">
        <v>0</v>
      </c>
      <c r="BS37">
        <v>0</v>
      </c>
      <c r="BT37" s="27">
        <v>6.4787850014438486E-2</v>
      </c>
      <c r="BV37" s="73"/>
      <c r="BZ37" s="49">
        <v>20538.800000000003</v>
      </c>
      <c r="CA37">
        <v>36616</v>
      </c>
      <c r="CB37">
        <v>14731</v>
      </c>
      <c r="CC37">
        <v>11325</v>
      </c>
      <c r="CD37">
        <v>0</v>
      </c>
      <c r="CE37">
        <v>0</v>
      </c>
      <c r="CF37" s="27">
        <v>3.8130473469769922E-2</v>
      </c>
      <c r="CH37" s="73"/>
      <c r="CL37" s="49">
        <v>15565.6</v>
      </c>
      <c r="CM37">
        <v>22791</v>
      </c>
      <c r="CN37">
        <v>16123</v>
      </c>
      <c r="CO37">
        <v>9162</v>
      </c>
      <c r="CP37">
        <v>0</v>
      </c>
      <c r="CQ37">
        <v>0</v>
      </c>
      <c r="CR37" s="27">
        <v>0.16039527056183656</v>
      </c>
      <c r="CT37" s="73"/>
      <c r="CV37" s="152"/>
      <c r="CW37" s="27">
        <v>0.11246143788268041</v>
      </c>
      <c r="CX37" s="27">
        <v>0</v>
      </c>
      <c r="CY37" s="152"/>
      <c r="CZ37" s="152"/>
      <c r="DA37" s="152"/>
      <c r="DB37" s="152"/>
      <c r="DC37" s="152"/>
      <c r="DD37" s="152"/>
    </row>
    <row r="38" spans="1:136" s="55" customFormat="1" x14ac:dyDescent="0.3">
      <c r="A38" s="80" t="s">
        <v>33</v>
      </c>
      <c r="B38" s="53" t="s">
        <v>45</v>
      </c>
      <c r="C38" s="53">
        <v>22829</v>
      </c>
      <c r="D38" s="56">
        <v>12392.000000000002</v>
      </c>
      <c r="E38" s="57">
        <v>20571</v>
      </c>
      <c r="F38" s="57">
        <v>10417</v>
      </c>
      <c r="G38" s="57">
        <v>0</v>
      </c>
      <c r="H38" s="57">
        <v>0</v>
      </c>
      <c r="I38" s="57">
        <v>0</v>
      </c>
      <c r="J38" s="83">
        <v>0.11750506642960822</v>
      </c>
      <c r="K38" s="83">
        <v>7.0924287965982383E-3</v>
      </c>
      <c r="L38" s="83">
        <v>8.4386845080204706E-2</v>
      </c>
      <c r="M38" s="83">
        <v>2.2930268180774802E-2</v>
      </c>
      <c r="N38" s="73">
        <v>7.3187612247579803E-2</v>
      </c>
      <c r="O38" s="27" t="e">
        <v>#DIV/0!</v>
      </c>
      <c r="P38" s="65">
        <v>52555.4</v>
      </c>
      <c r="Q38" s="26">
        <v>81057</v>
      </c>
      <c r="R38" s="49">
        <v>38300.32</v>
      </c>
      <c r="S38">
        <v>75145.600000000006</v>
      </c>
      <c r="T38">
        <v>20208.599999999999</v>
      </c>
      <c r="U38">
        <v>742.4</v>
      </c>
      <c r="V38">
        <v>0</v>
      </c>
      <c r="W38">
        <v>793.2</v>
      </c>
      <c r="X38" s="83">
        <v>0.2712391114899706</v>
      </c>
      <c r="Y38" s="83">
        <v>9.7311151362832211E-3</v>
      </c>
      <c r="Z38" s="73">
        <v>7.2928926557854282E-2</v>
      </c>
      <c r="AA38" s="27" t="e">
        <v>#DIV/0!</v>
      </c>
      <c r="AB38" s="63">
        <v>24505.8</v>
      </c>
      <c r="AC38">
        <v>48120</v>
      </c>
      <c r="AD38" s="49">
        <v>20017.840000000004</v>
      </c>
      <c r="AE38">
        <v>37794.199999999997</v>
      </c>
      <c r="AF38">
        <v>12250.4</v>
      </c>
      <c r="AG38">
        <v>12418.4</v>
      </c>
      <c r="AH38">
        <v>0</v>
      </c>
      <c r="AI38">
        <v>0</v>
      </c>
      <c r="AJ38" s="27">
        <v>0.18313868553566892</v>
      </c>
      <c r="AK38" s="27">
        <v>2.0847777962525729E-3</v>
      </c>
      <c r="AL38" s="73">
        <v>0.21458437240232758</v>
      </c>
      <c r="AM38" s="27" t="e">
        <v>#DIV/0!</v>
      </c>
      <c r="AN38" s="65">
        <v>28903.4</v>
      </c>
      <c r="AO38">
        <v>48676</v>
      </c>
      <c r="AP38" s="49">
        <v>26492.799999999999</v>
      </c>
      <c r="AQ38">
        <v>43684.4</v>
      </c>
      <c r="AR38">
        <v>22547.599999999999</v>
      </c>
      <c r="AS38">
        <v>16748.400000000001</v>
      </c>
      <c r="AT38">
        <v>0</v>
      </c>
      <c r="AU38">
        <v>0</v>
      </c>
      <c r="AV38" s="27">
        <v>8.3401952711445779E-2</v>
      </c>
      <c r="AW38" s="27">
        <v>6.7764141137762503E-3</v>
      </c>
      <c r="AX38" s="73">
        <v>0.10254745665214887</v>
      </c>
      <c r="AY38" s="27" t="e">
        <v>#DIV/0!</v>
      </c>
      <c r="AZ38" s="65">
        <v>28238.6</v>
      </c>
      <c r="BA38">
        <v>55474</v>
      </c>
      <c r="BB38" s="49">
        <v>26612.159999999996</v>
      </c>
      <c r="BC38">
        <v>51813.599999999999</v>
      </c>
      <c r="BD38">
        <v>14716.8</v>
      </c>
      <c r="BE38">
        <v>0</v>
      </c>
      <c r="BF38">
        <v>0</v>
      </c>
      <c r="BG38">
        <v>0</v>
      </c>
      <c r="BH38" s="27">
        <v>5.7496210457720125E-2</v>
      </c>
      <c r="BI38" s="27">
        <v>2.9716945377961101E-3</v>
      </c>
      <c r="BJ38" s="73">
        <v>6.4048022497025639E-2</v>
      </c>
      <c r="BK38" s="27" t="e">
        <v>#DIV/0!</v>
      </c>
      <c r="BL38" s="65">
        <v>40864.6</v>
      </c>
      <c r="BM38">
        <v>86423</v>
      </c>
      <c r="BN38" s="49">
        <v>38235.840000000004</v>
      </c>
      <c r="BO38">
        <v>80757.399999999994</v>
      </c>
      <c r="BP38">
        <v>14832.2</v>
      </c>
      <c r="BQ38">
        <v>12226.2</v>
      </c>
      <c r="BR38">
        <v>0</v>
      </c>
      <c r="BS38">
        <v>0</v>
      </c>
      <c r="BT38" s="27">
        <v>6.432853863735348E-2</v>
      </c>
      <c r="BU38" s="27">
        <v>1.4492303762214422E-3</v>
      </c>
      <c r="BV38" s="73">
        <v>6.5556622658320185E-2</v>
      </c>
      <c r="BW38" s="27" t="e">
        <v>#DIV/0!</v>
      </c>
      <c r="BX38" s="65">
        <v>21355</v>
      </c>
      <c r="BY38">
        <v>38534</v>
      </c>
      <c r="BZ38" s="49">
        <v>20552.88</v>
      </c>
      <c r="CA38">
        <v>36648.199999999997</v>
      </c>
      <c r="CB38">
        <v>14734</v>
      </c>
      <c r="CC38">
        <v>11304.8</v>
      </c>
      <c r="CD38">
        <v>0</v>
      </c>
      <c r="CE38">
        <v>0</v>
      </c>
      <c r="CF38" s="27">
        <v>3.7561226878951019E-2</v>
      </c>
      <c r="CG38" s="27">
        <v>3.3123192877659662E-3</v>
      </c>
      <c r="CH38" s="73">
        <v>4.8938599678206338E-2</v>
      </c>
      <c r="CI38" s="27" t="e">
        <v>#DIV/0!</v>
      </c>
      <c r="CJ38" s="63">
        <v>18539.2</v>
      </c>
      <c r="CK38">
        <v>28067</v>
      </c>
      <c r="CL38" s="49">
        <v>15600.960000000001</v>
      </c>
      <c r="CM38">
        <v>22875.4</v>
      </c>
      <c r="CN38">
        <v>16127</v>
      </c>
      <c r="CO38">
        <v>10028.6</v>
      </c>
      <c r="CP38">
        <v>0</v>
      </c>
      <c r="CQ38">
        <v>0</v>
      </c>
      <c r="CR38" s="83">
        <v>0.15848796064555104</v>
      </c>
      <c r="CS38" s="83">
        <v>7.4836109439155515E-3</v>
      </c>
      <c r="CT38" s="73">
        <v>0.18497167492072536</v>
      </c>
      <c r="CU38" s="27" t="e">
        <v>#DIV/0!</v>
      </c>
      <c r="CV38"/>
      <c r="CW38" s="27">
        <v>0.11750506642960822</v>
      </c>
      <c r="CX38" s="27">
        <v>7.0924287965982383E-3</v>
      </c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</row>
    <row r="39" spans="1:136" ht="14.4" hidden="1" customHeight="1" x14ac:dyDescent="0.3">
      <c r="A39" s="150" t="s">
        <v>52</v>
      </c>
      <c r="B39" s="61"/>
      <c r="C39" s="18"/>
      <c r="D39" s="24">
        <v>12527.599999999999</v>
      </c>
      <c r="E39">
        <v>20766</v>
      </c>
      <c r="F39">
        <v>10553</v>
      </c>
      <c r="G39">
        <v>0</v>
      </c>
      <c r="H39">
        <v>0</v>
      </c>
      <c r="I39">
        <v>0</v>
      </c>
      <c r="J39" s="27">
        <v>0.11605749552326451</v>
      </c>
      <c r="K39" s="27">
        <v>0</v>
      </c>
      <c r="L39" s="27">
        <v>7.4388225558576743E-2</v>
      </c>
      <c r="N39" s="73"/>
      <c r="R39" s="49">
        <v>38648.200000000004</v>
      </c>
      <c r="S39">
        <v>76133</v>
      </c>
      <c r="T39">
        <v>20298</v>
      </c>
      <c r="U39">
        <v>1905</v>
      </c>
      <c r="V39">
        <v>0</v>
      </c>
      <c r="W39">
        <v>379</v>
      </c>
      <c r="X39" s="27">
        <v>0.26460581797147331</v>
      </c>
      <c r="Z39" s="73"/>
      <c r="AD39" s="49">
        <v>20046</v>
      </c>
      <c r="AE39">
        <v>37848</v>
      </c>
      <c r="AF39">
        <v>12267</v>
      </c>
      <c r="AG39">
        <v>11395</v>
      </c>
      <c r="AH39">
        <v>0</v>
      </c>
      <c r="AI39">
        <v>0</v>
      </c>
      <c r="AJ39" s="27">
        <v>0.18195618817537787</v>
      </c>
      <c r="AL39" s="73"/>
      <c r="AP39" s="49">
        <v>26243.200000000004</v>
      </c>
      <c r="AQ39">
        <v>43146</v>
      </c>
      <c r="AR39">
        <v>22462</v>
      </c>
      <c r="AS39">
        <v>20112</v>
      </c>
      <c r="AT39">
        <v>0</v>
      </c>
      <c r="AU39">
        <v>0</v>
      </c>
      <c r="AV39" s="27">
        <v>9.197478322849402E-2</v>
      </c>
      <c r="AX39" s="73"/>
      <c r="BB39" s="49">
        <v>26732.800000000003</v>
      </c>
      <c r="BC39">
        <v>52173</v>
      </c>
      <c r="BD39">
        <v>14659</v>
      </c>
      <c r="BE39">
        <v>0</v>
      </c>
      <c r="BF39">
        <v>0</v>
      </c>
      <c r="BG39">
        <v>0</v>
      </c>
      <c r="BH39" s="27">
        <v>5.3257120191524322E-2</v>
      </c>
      <c r="BJ39" s="73"/>
      <c r="BN39" s="49">
        <v>38202</v>
      </c>
      <c r="BO39">
        <v>80673</v>
      </c>
      <c r="BP39">
        <v>14832</v>
      </c>
      <c r="BQ39">
        <v>12364</v>
      </c>
      <c r="BR39">
        <v>0</v>
      </c>
      <c r="BS39">
        <v>0</v>
      </c>
      <c r="BT39" s="27">
        <v>6.5110883791046056E-2</v>
      </c>
      <c r="BV39" s="73"/>
      <c r="BZ39" s="49">
        <v>20584.400000000001</v>
      </c>
      <c r="CA39">
        <v>36723</v>
      </c>
      <c r="CB39">
        <v>14738</v>
      </c>
      <c r="CC39">
        <v>11299</v>
      </c>
      <c r="CD39">
        <v>0</v>
      </c>
      <c r="CE39">
        <v>0</v>
      </c>
      <c r="CF39" s="27">
        <v>3.5994942162693701E-2</v>
      </c>
      <c r="CH39" s="73"/>
      <c r="CL39" s="49">
        <v>15551.2</v>
      </c>
      <c r="CM39">
        <v>22757</v>
      </c>
      <c r="CN39">
        <v>16121</v>
      </c>
      <c r="CO39">
        <v>8535</v>
      </c>
      <c r="CP39">
        <v>0</v>
      </c>
      <c r="CQ39">
        <v>0</v>
      </c>
      <c r="CR39" s="27">
        <v>0.16117200310693017</v>
      </c>
      <c r="CT39" s="73"/>
      <c r="CV39" s="152"/>
      <c r="CW39" s="27">
        <v>0.11605749552326451</v>
      </c>
      <c r="CX39" s="27">
        <v>0</v>
      </c>
      <c r="CY39" s="152"/>
      <c r="CZ39" s="152"/>
      <c r="DA39" s="152"/>
      <c r="DB39" s="152"/>
      <c r="DC39" s="152"/>
      <c r="DD39" s="152"/>
    </row>
    <row r="40" spans="1:136" ht="20.399999999999999" hidden="1" customHeight="1" thickBot="1" x14ac:dyDescent="0.35">
      <c r="A40" s="151"/>
      <c r="B40" s="61"/>
      <c r="C40" s="18"/>
      <c r="D40" s="24">
        <v>12496.4</v>
      </c>
      <c r="E40">
        <v>20761</v>
      </c>
      <c r="F40">
        <v>10480</v>
      </c>
      <c r="G40">
        <v>0</v>
      </c>
      <c r="H40">
        <v>0</v>
      </c>
      <c r="I40">
        <v>0</v>
      </c>
      <c r="J40" s="27">
        <v>0.11551222190886992</v>
      </c>
      <c r="K40" s="27">
        <v>0</v>
      </c>
      <c r="L40" s="27">
        <v>7.6693462584229821E-2</v>
      </c>
      <c r="N40" s="73"/>
      <c r="R40" s="49">
        <v>38739</v>
      </c>
      <c r="S40">
        <v>76118</v>
      </c>
      <c r="T40">
        <v>20408</v>
      </c>
      <c r="U40">
        <v>616</v>
      </c>
      <c r="V40">
        <v>0</v>
      </c>
      <c r="W40">
        <v>643</v>
      </c>
      <c r="X40" s="27">
        <v>0.26287808442299793</v>
      </c>
      <c r="Z40" s="73"/>
      <c r="AD40" s="49">
        <v>19962.400000000001</v>
      </c>
      <c r="AE40">
        <v>37680</v>
      </c>
      <c r="AF40">
        <v>12226</v>
      </c>
      <c r="AG40">
        <v>12767</v>
      </c>
      <c r="AH40">
        <v>0</v>
      </c>
      <c r="AI40">
        <v>0</v>
      </c>
      <c r="AJ40" s="27">
        <v>0.18536776468283755</v>
      </c>
      <c r="AL40" s="73"/>
      <c r="AP40" s="49">
        <v>26636.800000000003</v>
      </c>
      <c r="AQ40">
        <v>43986</v>
      </c>
      <c r="AR40">
        <v>22606</v>
      </c>
      <c r="AS40">
        <v>0</v>
      </c>
      <c r="AT40">
        <v>0</v>
      </c>
      <c r="AU40">
        <v>0</v>
      </c>
      <c r="AV40" s="27">
        <v>7.8356065796120547E-2</v>
      </c>
      <c r="AX40" s="73"/>
      <c r="BB40" s="49">
        <v>26586</v>
      </c>
      <c r="BC40">
        <v>51740</v>
      </c>
      <c r="BD40">
        <v>14725</v>
      </c>
      <c r="BE40">
        <v>0</v>
      </c>
      <c r="BF40">
        <v>0</v>
      </c>
      <c r="BG40">
        <v>0</v>
      </c>
      <c r="BH40" s="27">
        <v>5.8456046407853589E-2</v>
      </c>
      <c r="BJ40" s="73"/>
      <c r="BN40" s="49">
        <v>38199.200000000004</v>
      </c>
      <c r="BO40">
        <v>80662</v>
      </c>
      <c r="BP40">
        <v>14836</v>
      </c>
      <c r="BQ40">
        <v>11978</v>
      </c>
      <c r="BR40">
        <v>0</v>
      </c>
      <c r="BS40">
        <v>0</v>
      </c>
      <c r="BT40" s="27">
        <v>6.5179406107296015E-2</v>
      </c>
      <c r="BV40" s="73"/>
      <c r="BZ40" s="49">
        <v>20584.400000000001</v>
      </c>
      <c r="CA40">
        <v>36723</v>
      </c>
      <c r="CB40">
        <v>14738</v>
      </c>
      <c r="CC40">
        <v>11318</v>
      </c>
      <c r="CD40">
        <v>0</v>
      </c>
      <c r="CE40">
        <v>0</v>
      </c>
      <c r="CF40" s="27">
        <v>3.5994942162693701E-2</v>
      </c>
      <c r="CH40" s="73"/>
      <c r="CL40" s="49">
        <v>15551.2</v>
      </c>
      <c r="CM40">
        <v>22757</v>
      </c>
      <c r="CN40">
        <v>16121</v>
      </c>
      <c r="CO40">
        <v>8337</v>
      </c>
      <c r="CP40">
        <v>0</v>
      </c>
      <c r="CQ40">
        <v>0</v>
      </c>
      <c r="CR40" s="27">
        <v>0.16117200310693017</v>
      </c>
      <c r="CT40" s="73"/>
      <c r="CV40" s="152"/>
      <c r="CW40" s="27">
        <v>0.11551222190886992</v>
      </c>
      <c r="CX40" s="27">
        <v>0</v>
      </c>
      <c r="CY40" s="152"/>
      <c r="CZ40" s="152"/>
      <c r="DA40" s="152"/>
      <c r="DB40" s="152"/>
      <c r="DC40" s="152"/>
      <c r="DD40" s="152"/>
    </row>
    <row r="41" spans="1:136" ht="14.4" hidden="1" customHeight="1" x14ac:dyDescent="0.3">
      <c r="A41" s="151"/>
      <c r="B41" s="61"/>
      <c r="C41" s="18"/>
      <c r="D41" s="24">
        <v>12874.400000000001</v>
      </c>
      <c r="E41">
        <v>21690</v>
      </c>
      <c r="F41">
        <v>10496</v>
      </c>
      <c r="G41">
        <v>0</v>
      </c>
      <c r="H41">
        <v>0</v>
      </c>
      <c r="I41">
        <v>0</v>
      </c>
      <c r="J41" s="27">
        <v>0.11166574239021158</v>
      </c>
      <c r="K41" s="27">
        <v>0</v>
      </c>
      <c r="L41" s="27">
        <v>4.8764629388816511E-2</v>
      </c>
      <c r="N41" s="73"/>
      <c r="R41" s="49">
        <v>38196.600000000006</v>
      </c>
      <c r="S41">
        <v>75083</v>
      </c>
      <c r="T41">
        <v>20219</v>
      </c>
      <c r="U41">
        <v>1342</v>
      </c>
      <c r="V41">
        <v>0</v>
      </c>
      <c r="W41">
        <v>379</v>
      </c>
      <c r="X41" s="27">
        <v>0.27319881874781171</v>
      </c>
      <c r="Z41" s="73"/>
      <c r="AD41" s="49">
        <v>20124.800000000003</v>
      </c>
      <c r="AE41">
        <v>38007</v>
      </c>
      <c r="AF41">
        <v>12305</v>
      </c>
      <c r="AG41">
        <v>12981</v>
      </c>
      <c r="AH41">
        <v>0</v>
      </c>
      <c r="AI41">
        <v>0</v>
      </c>
      <c r="AJ41" s="27">
        <v>0.17874049165877692</v>
      </c>
      <c r="AL41" s="73"/>
      <c r="AP41" s="49">
        <v>26482.400000000001</v>
      </c>
      <c r="AQ41">
        <v>43643</v>
      </c>
      <c r="AR41">
        <v>22563</v>
      </c>
      <c r="AS41">
        <v>20210</v>
      </c>
      <c r="AT41">
        <v>0</v>
      </c>
      <c r="AU41">
        <v>0</v>
      </c>
      <c r="AV41" s="27">
        <v>8.3698367553128913E-2</v>
      </c>
      <c r="AX41" s="73"/>
      <c r="BB41" s="49">
        <v>26704.800000000003</v>
      </c>
      <c r="BC41">
        <v>52118</v>
      </c>
      <c r="BD41">
        <v>14644</v>
      </c>
      <c r="BE41">
        <v>0</v>
      </c>
      <c r="BF41">
        <v>0</v>
      </c>
      <c r="BG41">
        <v>0</v>
      </c>
      <c r="BH41" s="27">
        <v>5.4248740995728795E-2</v>
      </c>
      <c r="BJ41" s="73"/>
      <c r="BN41" s="49">
        <v>38200</v>
      </c>
      <c r="BO41">
        <v>80662</v>
      </c>
      <c r="BP41">
        <v>14838</v>
      </c>
      <c r="BQ41">
        <v>12202</v>
      </c>
      <c r="BR41">
        <v>0</v>
      </c>
      <c r="BS41">
        <v>0</v>
      </c>
      <c r="BT41" s="27">
        <v>6.5159828302653253E-2</v>
      </c>
      <c r="BV41" s="73"/>
      <c r="BZ41" s="49">
        <v>20494.400000000001</v>
      </c>
      <c r="CA41">
        <v>36508</v>
      </c>
      <c r="CB41">
        <v>14728</v>
      </c>
      <c r="CC41">
        <v>11304</v>
      </c>
      <c r="CD41">
        <v>0</v>
      </c>
      <c r="CE41">
        <v>0</v>
      </c>
      <c r="CF41" s="27">
        <v>4.0209806584554794E-2</v>
      </c>
      <c r="CH41" s="73"/>
      <c r="CL41" s="49">
        <v>15771.2</v>
      </c>
      <c r="CM41">
        <v>23281</v>
      </c>
      <c r="CN41">
        <v>16147</v>
      </c>
      <c r="CO41">
        <v>9764</v>
      </c>
      <c r="CP41">
        <v>0</v>
      </c>
      <c r="CQ41">
        <v>0</v>
      </c>
      <c r="CR41" s="27">
        <v>0.14930525589022178</v>
      </c>
      <c r="CT41" s="73"/>
      <c r="CV41" s="152"/>
      <c r="CW41" s="27">
        <v>0.11166574239021158</v>
      </c>
      <c r="CX41" s="27">
        <v>0</v>
      </c>
      <c r="CY41" s="152"/>
      <c r="CZ41" s="152"/>
      <c r="DA41" s="152"/>
      <c r="DB41" s="152"/>
      <c r="DC41" s="152"/>
      <c r="DD41" s="152"/>
    </row>
    <row r="42" spans="1:136" ht="14.4" hidden="1" customHeight="1" x14ac:dyDescent="0.3">
      <c r="A42" s="151"/>
      <c r="B42" s="61"/>
      <c r="C42" s="18"/>
      <c r="D42" s="24">
        <v>12426.400000000001</v>
      </c>
      <c r="E42">
        <v>20547</v>
      </c>
      <c r="F42">
        <v>10519</v>
      </c>
      <c r="G42">
        <v>0</v>
      </c>
      <c r="H42">
        <v>0</v>
      </c>
      <c r="I42">
        <v>0</v>
      </c>
      <c r="J42" s="27">
        <v>0.11463560333964513</v>
      </c>
      <c r="K42" s="27">
        <v>0</v>
      </c>
      <c r="L42" s="27">
        <v>8.1865468731528418E-2</v>
      </c>
      <c r="N42" s="73"/>
      <c r="R42" s="49">
        <v>38399</v>
      </c>
      <c r="S42">
        <v>75420</v>
      </c>
      <c r="T42">
        <v>20209</v>
      </c>
      <c r="U42">
        <v>1872</v>
      </c>
      <c r="V42">
        <v>0</v>
      </c>
      <c r="W42">
        <v>737</v>
      </c>
      <c r="X42" s="27">
        <v>0.26934757127852282</v>
      </c>
      <c r="Z42" s="73"/>
      <c r="AD42" s="49">
        <v>20322.400000000001</v>
      </c>
      <c r="AE42">
        <v>38542</v>
      </c>
      <c r="AF42">
        <v>12264</v>
      </c>
      <c r="AG42">
        <v>11131</v>
      </c>
      <c r="AH42">
        <v>0</v>
      </c>
      <c r="AI42">
        <v>0</v>
      </c>
      <c r="AJ42" s="27">
        <v>0.17067676536841753</v>
      </c>
      <c r="AL42" s="73"/>
      <c r="AP42" s="49">
        <v>26265.200000000001</v>
      </c>
      <c r="AQ42">
        <v>43190</v>
      </c>
      <c r="AR42">
        <v>22473</v>
      </c>
      <c r="AS42">
        <v>20154</v>
      </c>
      <c r="AT42">
        <v>0</v>
      </c>
      <c r="AU42">
        <v>0</v>
      </c>
      <c r="AV42" s="27">
        <v>9.1213574428920419E-2</v>
      </c>
      <c r="AX42" s="73"/>
      <c r="BB42" s="49">
        <v>26732.800000000003</v>
      </c>
      <c r="BC42">
        <v>52173</v>
      </c>
      <c r="BD42">
        <v>14659</v>
      </c>
      <c r="BE42">
        <v>0</v>
      </c>
      <c r="BF42">
        <v>0</v>
      </c>
      <c r="BG42">
        <v>0</v>
      </c>
      <c r="BH42" s="27">
        <v>5.3257120191524322E-2</v>
      </c>
      <c r="BJ42" s="73"/>
      <c r="BN42" s="49">
        <v>38189.200000000004</v>
      </c>
      <c r="BO42">
        <v>80641</v>
      </c>
      <c r="BP42">
        <v>14832</v>
      </c>
      <c r="BQ42">
        <v>12331</v>
      </c>
      <c r="BR42">
        <v>0</v>
      </c>
      <c r="BS42">
        <v>0</v>
      </c>
      <c r="BT42" s="27">
        <v>6.5424128665331968E-2</v>
      </c>
      <c r="BV42" s="73"/>
      <c r="BZ42" s="49">
        <v>20584.400000000001</v>
      </c>
      <c r="CA42">
        <v>36723</v>
      </c>
      <c r="CB42">
        <v>14738</v>
      </c>
      <c r="CC42">
        <v>11318</v>
      </c>
      <c r="CD42">
        <v>0</v>
      </c>
      <c r="CE42">
        <v>0</v>
      </c>
      <c r="CF42" s="27">
        <v>3.5994942162693701E-2</v>
      </c>
      <c r="CH42" s="73"/>
      <c r="CL42" s="49">
        <v>15771.2</v>
      </c>
      <c r="CM42">
        <v>23281</v>
      </c>
      <c r="CN42">
        <v>16147</v>
      </c>
      <c r="CO42">
        <v>10163</v>
      </c>
      <c r="CP42">
        <v>0</v>
      </c>
      <c r="CQ42">
        <v>0</v>
      </c>
      <c r="CR42" s="27">
        <v>0.14930525589022178</v>
      </c>
      <c r="CT42" s="73"/>
      <c r="CV42" s="152"/>
      <c r="CW42" s="27">
        <v>0.11463560333964513</v>
      </c>
      <c r="CX42" s="27">
        <v>0</v>
      </c>
      <c r="CY42" s="152"/>
      <c r="CZ42" s="152"/>
      <c r="DA42" s="152"/>
      <c r="DB42" s="152"/>
      <c r="DC42" s="152"/>
      <c r="DD42" s="152"/>
    </row>
    <row r="43" spans="1:136" ht="14.4" hidden="1" customHeight="1" x14ac:dyDescent="0.3">
      <c r="A43" s="151"/>
      <c r="B43" s="61"/>
      <c r="C43" s="18"/>
      <c r="D43" s="24">
        <v>12814.4</v>
      </c>
      <c r="E43">
        <v>21666</v>
      </c>
      <c r="F43">
        <v>10370</v>
      </c>
      <c r="G43">
        <v>0</v>
      </c>
      <c r="H43">
        <v>0</v>
      </c>
      <c r="I43">
        <v>0</v>
      </c>
      <c r="J43" s="27">
        <v>0.11222553996519632</v>
      </c>
      <c r="K43" s="27">
        <v>0</v>
      </c>
      <c r="L43" s="27">
        <v>5.3197777515072708E-2</v>
      </c>
      <c r="N43" s="73"/>
      <c r="R43" s="49">
        <v>38751.800000000003</v>
      </c>
      <c r="S43">
        <v>76103</v>
      </c>
      <c r="T43">
        <v>20432</v>
      </c>
      <c r="U43">
        <v>848</v>
      </c>
      <c r="V43">
        <v>0</v>
      </c>
      <c r="W43">
        <v>689</v>
      </c>
      <c r="X43" s="27">
        <v>0.26263452727078984</v>
      </c>
      <c r="Z43" s="73"/>
      <c r="AD43" s="49">
        <v>20046</v>
      </c>
      <c r="AE43">
        <v>37848</v>
      </c>
      <c r="AF43">
        <v>12267</v>
      </c>
      <c r="AG43">
        <v>12904</v>
      </c>
      <c r="AH43">
        <v>0</v>
      </c>
      <c r="AI43">
        <v>0</v>
      </c>
      <c r="AJ43" s="27">
        <v>0.18195618817537787</v>
      </c>
      <c r="AL43" s="73"/>
      <c r="AP43" s="49">
        <v>26265.200000000001</v>
      </c>
      <c r="AQ43">
        <v>43190</v>
      </c>
      <c r="AR43">
        <v>22473</v>
      </c>
      <c r="AS43">
        <v>20154</v>
      </c>
      <c r="AT43">
        <v>0</v>
      </c>
      <c r="AU43">
        <v>0</v>
      </c>
      <c r="AV43" s="27">
        <v>9.1213574428920419E-2</v>
      </c>
      <c r="AX43" s="73"/>
      <c r="BB43" s="49">
        <v>26692.799999999999</v>
      </c>
      <c r="BC43">
        <v>52090</v>
      </c>
      <c r="BD43">
        <v>14642</v>
      </c>
      <c r="BE43">
        <v>0</v>
      </c>
      <c r="BF43">
        <v>0</v>
      </c>
      <c r="BG43">
        <v>0</v>
      </c>
      <c r="BH43" s="27">
        <v>5.4673721340387983E-2</v>
      </c>
      <c r="BJ43" s="73"/>
      <c r="BN43" s="49">
        <v>38202</v>
      </c>
      <c r="BO43">
        <v>80673</v>
      </c>
      <c r="BP43">
        <v>14832</v>
      </c>
      <c r="BQ43">
        <v>12038</v>
      </c>
      <c r="BR43">
        <v>0</v>
      </c>
      <c r="BS43">
        <v>0</v>
      </c>
      <c r="BT43" s="27">
        <v>6.5110883791046056E-2</v>
      </c>
      <c r="BV43" s="73"/>
      <c r="BZ43" s="49">
        <v>20491.2</v>
      </c>
      <c r="CA43">
        <v>36500</v>
      </c>
      <c r="CB43">
        <v>14728</v>
      </c>
      <c r="CC43">
        <v>11304</v>
      </c>
      <c r="CD43">
        <v>0</v>
      </c>
      <c r="CE43">
        <v>0</v>
      </c>
      <c r="CF43" s="27">
        <v>4.0359668430665449E-2</v>
      </c>
      <c r="CH43" s="73"/>
      <c r="CL43" s="49">
        <v>15783.2</v>
      </c>
      <c r="CM43">
        <v>23310</v>
      </c>
      <c r="CN43">
        <v>16148</v>
      </c>
      <c r="CO43">
        <v>10162</v>
      </c>
      <c r="CP43">
        <v>0</v>
      </c>
      <c r="CQ43">
        <v>0</v>
      </c>
      <c r="CR43" s="27">
        <v>0.14865797876931042</v>
      </c>
      <c r="CT43" s="73"/>
      <c r="CV43" s="152"/>
      <c r="CW43" s="27">
        <v>0.11222553996519632</v>
      </c>
      <c r="CX43" s="27">
        <v>0</v>
      </c>
      <c r="CY43" s="152"/>
      <c r="CZ43" s="152"/>
      <c r="DA43" s="152"/>
      <c r="DB43" s="152"/>
      <c r="DC43" s="152"/>
      <c r="DD43" s="152"/>
    </row>
    <row r="44" spans="1:136" s="55" customFormat="1" x14ac:dyDescent="0.3">
      <c r="A44" s="52" t="s">
        <v>52</v>
      </c>
      <c r="B44" s="53" t="s">
        <v>45</v>
      </c>
      <c r="C44" s="53">
        <v>22829</v>
      </c>
      <c r="D44" s="54">
        <v>12627.84</v>
      </c>
      <c r="E44" s="55">
        <v>21086</v>
      </c>
      <c r="F44" s="55">
        <v>10483.6</v>
      </c>
      <c r="G44" s="55">
        <v>0</v>
      </c>
      <c r="H44" s="55">
        <v>0</v>
      </c>
      <c r="I44" s="55">
        <v>0</v>
      </c>
      <c r="J44" s="27">
        <v>0.11405849607965529</v>
      </c>
      <c r="K44" s="27">
        <v>5.3001105342922209E-3</v>
      </c>
      <c r="L44" s="27">
        <v>6.6981912755644843E-2</v>
      </c>
      <c r="M44" s="27">
        <v>1.4937868869863312E-2</v>
      </c>
      <c r="N44" s="73">
        <v>7.635025625301152E-2</v>
      </c>
      <c r="O44" s="27" t="e">
        <v>#DIV/0!</v>
      </c>
      <c r="P44" s="65">
        <v>52555.4</v>
      </c>
      <c r="Q44" s="26">
        <v>81057</v>
      </c>
      <c r="R44" s="49">
        <v>38546.920000000006</v>
      </c>
      <c r="S44">
        <v>75771.399999999994</v>
      </c>
      <c r="T44">
        <v>20313.2</v>
      </c>
      <c r="U44">
        <v>1316.6</v>
      </c>
      <c r="V44">
        <v>0</v>
      </c>
      <c r="W44">
        <v>565.4</v>
      </c>
      <c r="X44" s="27">
        <v>0.26654692001202535</v>
      </c>
      <c r="Y44" s="84">
        <v>4.5996053939589597E-3</v>
      </c>
      <c r="Z44" s="73">
        <v>6.5208433571437449E-2</v>
      </c>
      <c r="AA44" s="27" t="e">
        <v>#DIV/0!</v>
      </c>
      <c r="AB44" s="63">
        <v>24505.8</v>
      </c>
      <c r="AC44">
        <v>48120</v>
      </c>
      <c r="AD44" s="49">
        <v>20100.32</v>
      </c>
      <c r="AE44">
        <v>37985</v>
      </c>
      <c r="AF44">
        <v>12265.8</v>
      </c>
      <c r="AG44">
        <v>12235.6</v>
      </c>
      <c r="AH44">
        <v>0</v>
      </c>
      <c r="AI44">
        <v>0</v>
      </c>
      <c r="AJ44" s="27">
        <v>0.17977295170939123</v>
      </c>
      <c r="AK44" s="27">
        <v>5.5820236684386232E-3</v>
      </c>
      <c r="AL44" s="73">
        <v>0.21061928512053199</v>
      </c>
      <c r="AM44" s="27" t="e">
        <v>#DIV/0!</v>
      </c>
      <c r="AN44" s="65">
        <v>28903.4</v>
      </c>
      <c r="AO44">
        <v>48676</v>
      </c>
      <c r="AP44" s="49">
        <v>26378.560000000005</v>
      </c>
      <c r="AQ44">
        <v>43431</v>
      </c>
      <c r="AR44">
        <v>22515.4</v>
      </c>
      <c r="AS44">
        <v>16126</v>
      </c>
      <c r="AT44">
        <v>0</v>
      </c>
      <c r="AU44">
        <v>0</v>
      </c>
      <c r="AV44" s="83">
        <v>8.7354428890718608E-2</v>
      </c>
      <c r="AW44" s="83">
        <v>6.0301546909147692E-3</v>
      </c>
      <c r="AX44" s="73">
        <v>0.10775330758484675</v>
      </c>
      <c r="AY44" s="27" t="e">
        <v>#DIV/0!</v>
      </c>
      <c r="AZ44" s="65">
        <v>28238.6</v>
      </c>
      <c r="BA44">
        <v>55474</v>
      </c>
      <c r="BB44" s="49">
        <v>26689.840000000004</v>
      </c>
      <c r="BC44">
        <v>52058.8</v>
      </c>
      <c r="BD44">
        <v>14665.8</v>
      </c>
      <c r="BE44">
        <v>0</v>
      </c>
      <c r="BF44">
        <v>0</v>
      </c>
      <c r="BG44">
        <v>0</v>
      </c>
      <c r="BH44" s="27">
        <v>5.4845495173273279E-2</v>
      </c>
      <c r="BI44" s="27">
        <v>2.1473916609980274E-3</v>
      </c>
      <c r="BJ44" s="73">
        <v>6.1563975916645586E-2</v>
      </c>
      <c r="BK44" s="27" t="e">
        <v>#DIV/0!</v>
      </c>
      <c r="BL44" s="65">
        <v>40864.6</v>
      </c>
      <c r="BM44">
        <v>86423</v>
      </c>
      <c r="BN44" s="49">
        <v>38198.480000000003</v>
      </c>
      <c r="BO44">
        <v>80662.2</v>
      </c>
      <c r="BP44">
        <v>14834</v>
      </c>
      <c r="BQ44">
        <v>12182.6</v>
      </c>
      <c r="BR44">
        <v>0</v>
      </c>
      <c r="BS44">
        <v>0</v>
      </c>
      <c r="BT44" s="27">
        <v>6.5242777367207697E-2</v>
      </c>
      <c r="BU44" s="84">
        <v>1.3049014353058188E-4</v>
      </c>
      <c r="BV44" s="73">
        <v>6.6658181271189415E-2</v>
      </c>
      <c r="BW44" s="27" t="e">
        <v>#DIV/0!</v>
      </c>
      <c r="BX44" s="65">
        <v>21355</v>
      </c>
      <c r="BY44">
        <v>38534</v>
      </c>
      <c r="BZ44" s="49">
        <v>20547.760000000002</v>
      </c>
      <c r="CA44">
        <v>36635.4</v>
      </c>
      <c r="CB44">
        <v>14734</v>
      </c>
      <c r="CC44">
        <v>11308.6</v>
      </c>
      <c r="CD44">
        <v>0</v>
      </c>
      <c r="CE44">
        <v>0</v>
      </c>
      <c r="CF44" s="83">
        <v>3.7800983376258389E-2</v>
      </c>
      <c r="CG44" s="83">
        <v>2.3502150012275342E-3</v>
      </c>
      <c r="CH44" s="73">
        <v>4.9270773862043871E-2</v>
      </c>
      <c r="CI44" s="27" t="e">
        <v>#DIV/0!</v>
      </c>
      <c r="CJ44" s="63">
        <v>18539.2</v>
      </c>
      <c r="CK44">
        <v>28067</v>
      </c>
      <c r="CL44" s="49">
        <v>15685.6</v>
      </c>
      <c r="CM44">
        <v>23077.200000000001</v>
      </c>
      <c r="CN44">
        <v>16136.8</v>
      </c>
      <c r="CO44">
        <v>9392.2000000000007</v>
      </c>
      <c r="CP44">
        <v>0</v>
      </c>
      <c r="CQ44">
        <v>0</v>
      </c>
      <c r="CR44" s="27">
        <v>0.1539224993527229</v>
      </c>
      <c r="CS44" s="27">
        <v>6.6231348454059659E-3</v>
      </c>
      <c r="CT44" s="73">
        <v>0.17778173655894822</v>
      </c>
      <c r="CU44" s="27" t="e">
        <v>#DIV/0!</v>
      </c>
      <c r="CV44"/>
      <c r="CW44" s="27">
        <v>0.11405849607965529</v>
      </c>
      <c r="CX44" s="27">
        <v>5.3001105342922209E-3</v>
      </c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</row>
    <row r="47" spans="1:136" x14ac:dyDescent="0.3">
      <c r="D47" s="49"/>
      <c r="L47" s="27"/>
      <c r="M47" s="27"/>
      <c r="BB47" s="49"/>
      <c r="BH47" s="27"/>
      <c r="BI47" s="27"/>
    </row>
    <row r="50" spans="1:18" x14ac:dyDescent="0.3">
      <c r="A50" s="2"/>
      <c r="B50" s="62"/>
      <c r="C50" s="2"/>
      <c r="D50" s="2"/>
      <c r="R50" s="2"/>
    </row>
  </sheetData>
  <mergeCells count="71">
    <mergeCell ref="CV39:CV43"/>
    <mergeCell ref="CV27:CV31"/>
    <mergeCell ref="CV33:CV37"/>
    <mergeCell ref="CV15:CV19"/>
    <mergeCell ref="CV21:CV25"/>
    <mergeCell ref="CV3:CV7"/>
    <mergeCell ref="CV9:CV13"/>
    <mergeCell ref="CV1:CV2"/>
    <mergeCell ref="A39:A43"/>
    <mergeCell ref="BX1:CI1"/>
    <mergeCell ref="CJ1:CU1"/>
    <mergeCell ref="A3:A7"/>
    <mergeCell ref="A9:A13"/>
    <mergeCell ref="A15:A19"/>
    <mergeCell ref="A21:A25"/>
    <mergeCell ref="A27:A31"/>
    <mergeCell ref="A33:A37"/>
    <mergeCell ref="P1:AA1"/>
    <mergeCell ref="AB1:AM1"/>
    <mergeCell ref="AN1:AY1"/>
    <mergeCell ref="AZ1:BK1"/>
    <mergeCell ref="BL1:BW1"/>
    <mergeCell ref="L1:M1"/>
    <mergeCell ref="CY1:CY2"/>
    <mergeCell ref="CZ1:CZ2"/>
    <mergeCell ref="DA1:DA2"/>
    <mergeCell ref="CY3:CY7"/>
    <mergeCell ref="CZ3:CZ7"/>
    <mergeCell ref="DA3:DA7"/>
    <mergeCell ref="CY9:CY13"/>
    <mergeCell ref="CZ9:CZ13"/>
    <mergeCell ref="DA9:DA13"/>
    <mergeCell ref="CZ15:CZ19"/>
    <mergeCell ref="DA15:DA19"/>
    <mergeCell ref="CY21:CY25"/>
    <mergeCell ref="CZ21:CZ25"/>
    <mergeCell ref="DA21:DA25"/>
    <mergeCell ref="CY39:CY43"/>
    <mergeCell ref="CZ39:CZ43"/>
    <mergeCell ref="DA39:DA43"/>
    <mergeCell ref="DB1:DB2"/>
    <mergeCell ref="DC1:DC2"/>
    <mergeCell ref="DB15:DB19"/>
    <mergeCell ref="DC15:DC19"/>
    <mergeCell ref="DB33:DB37"/>
    <mergeCell ref="DC33:DC37"/>
    <mergeCell ref="CY27:CY31"/>
    <mergeCell ref="CZ27:CZ31"/>
    <mergeCell ref="DA27:DA31"/>
    <mergeCell ref="CY33:CY37"/>
    <mergeCell ref="CZ33:CZ37"/>
    <mergeCell ref="DA33:DA37"/>
    <mergeCell ref="CY15:CY19"/>
    <mergeCell ref="DD1:DD2"/>
    <mergeCell ref="DB3:DB7"/>
    <mergeCell ref="DC3:DC7"/>
    <mergeCell ref="DD3:DD7"/>
    <mergeCell ref="DB9:DB13"/>
    <mergeCell ref="DC9:DC13"/>
    <mergeCell ref="DD9:DD13"/>
    <mergeCell ref="DD33:DD37"/>
    <mergeCell ref="DB39:DB43"/>
    <mergeCell ref="DC39:DC43"/>
    <mergeCell ref="DD39:DD43"/>
    <mergeCell ref="DD15:DD19"/>
    <mergeCell ref="DB21:DB25"/>
    <mergeCell ref="DC21:DC25"/>
    <mergeCell ref="DD21:DD25"/>
    <mergeCell ref="DB27:DB31"/>
    <mergeCell ref="DC27:DC31"/>
    <mergeCell ref="DD27:DD3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60E5F-75FE-448E-B036-C1719802BA8A}">
  <dimension ref="A3:T12"/>
  <sheetViews>
    <sheetView tabSelected="1" topLeftCell="K1" workbookViewId="0">
      <selection activeCell="S10" sqref="S10:T10"/>
    </sheetView>
  </sheetViews>
  <sheetFormatPr defaultRowHeight="14.4" x14ac:dyDescent="0.3"/>
  <cols>
    <col min="1" max="1" width="12.33203125" bestFit="1" customWidth="1"/>
    <col min="2" max="2" width="15.33203125" bestFit="1" customWidth="1"/>
    <col min="3" max="3" width="12" bestFit="1" customWidth="1"/>
    <col min="4" max="4" width="15.33203125" bestFit="1" customWidth="1"/>
    <col min="5" max="5" width="12" bestFit="1" customWidth="1"/>
    <col min="6" max="6" width="15.33203125" bestFit="1" customWidth="1"/>
    <col min="7" max="7" width="12" bestFit="1" customWidth="1"/>
    <col min="8" max="8" width="15.33203125" bestFit="1" customWidth="1"/>
    <col min="9" max="9" width="12" bestFit="1" customWidth="1"/>
    <col min="10" max="10" width="15.33203125" bestFit="1" customWidth="1"/>
    <col min="11" max="11" width="12" bestFit="1" customWidth="1"/>
    <col min="12" max="12" width="15.33203125" bestFit="1" customWidth="1"/>
    <col min="13" max="13" width="12" bestFit="1" customWidth="1"/>
    <col min="14" max="14" width="15.33203125" bestFit="1" customWidth="1"/>
    <col min="15" max="15" width="12" bestFit="1" customWidth="1"/>
    <col min="16" max="16" width="15.33203125" bestFit="1" customWidth="1"/>
    <col min="17" max="17" width="12" bestFit="1" customWidth="1"/>
    <col min="19" max="20" width="12" bestFit="1" customWidth="1"/>
  </cols>
  <sheetData>
    <row r="3" spans="1:20" s="155" customFormat="1" x14ac:dyDescent="0.3">
      <c r="B3" s="156" t="s">
        <v>24</v>
      </c>
      <c r="C3" s="156"/>
      <c r="D3" s="157">
        <v>2</v>
      </c>
      <c r="E3" s="157"/>
      <c r="F3" s="156">
        <v>3</v>
      </c>
      <c r="G3" s="156"/>
      <c r="H3" s="157">
        <v>5.16</v>
      </c>
      <c r="I3" s="157"/>
      <c r="J3" s="156">
        <v>6.16</v>
      </c>
      <c r="K3" s="156"/>
      <c r="L3" s="157" t="s">
        <v>65</v>
      </c>
      <c r="M3" s="157"/>
      <c r="N3" s="156">
        <v>9</v>
      </c>
      <c r="O3" s="156"/>
      <c r="P3" s="157">
        <v>10</v>
      </c>
      <c r="Q3" s="157"/>
      <c r="S3" s="155" t="s">
        <v>66</v>
      </c>
      <c r="T3" s="155" t="s">
        <v>67</v>
      </c>
    </row>
    <row r="4" spans="1:20" s="158" customFormat="1" ht="14.4" customHeight="1" x14ac:dyDescent="0.3">
      <c r="A4" s="158" t="s">
        <v>64</v>
      </c>
      <c r="B4" s="158" t="s">
        <v>21</v>
      </c>
      <c r="C4" s="158" t="s">
        <v>19</v>
      </c>
      <c r="D4" s="158" t="s">
        <v>21</v>
      </c>
      <c r="E4" s="158" t="s">
        <v>19</v>
      </c>
      <c r="F4" s="158" t="s">
        <v>21</v>
      </c>
      <c r="G4" s="158" t="s">
        <v>19</v>
      </c>
      <c r="H4" s="158" t="s">
        <v>21</v>
      </c>
      <c r="I4" s="158" t="s">
        <v>19</v>
      </c>
      <c r="J4" s="158" t="s">
        <v>21</v>
      </c>
      <c r="K4" s="158" t="s">
        <v>19</v>
      </c>
      <c r="L4" s="158" t="s">
        <v>21</v>
      </c>
      <c r="M4" s="158" t="s">
        <v>19</v>
      </c>
      <c r="N4" s="158" t="s">
        <v>21</v>
      </c>
      <c r="O4" s="158" t="s">
        <v>19</v>
      </c>
      <c r="P4" s="159" t="s">
        <v>21</v>
      </c>
      <c r="Q4" s="158" t="s">
        <v>19</v>
      </c>
    </row>
    <row r="5" spans="1:20" s="162" customFormat="1" x14ac:dyDescent="0.3">
      <c r="A5" s="160">
        <v>750</v>
      </c>
      <c r="B5" s="161">
        <v>6.4843002807743397E-2</v>
      </c>
      <c r="C5" s="161">
        <v>1.68058407719998E-2</v>
      </c>
      <c r="D5" s="161">
        <v>0.26488589696748299</v>
      </c>
      <c r="E5" s="161">
        <v>1.0147570940525E-2</v>
      </c>
      <c r="F5" s="161">
        <v>0.18117729380265099</v>
      </c>
      <c r="G5" s="161">
        <v>2.9947162506680099E-3</v>
      </c>
      <c r="H5" s="161">
        <v>8.6827996013620207E-2</v>
      </c>
      <c r="I5" s="161">
        <v>8.1367023806477399E-3</v>
      </c>
      <c r="J5" s="161">
        <v>5.6947874872492303E-2</v>
      </c>
      <c r="K5" s="161">
        <v>3.18710562605805E-3</v>
      </c>
      <c r="L5" s="161">
        <v>6.1189961722581801E-2</v>
      </c>
      <c r="M5" s="161">
        <v>1.41868980094973E-3</v>
      </c>
      <c r="N5" s="161">
        <v>3.5941686182669901E-2</v>
      </c>
      <c r="O5" s="161">
        <v>1.1177697708713099E-3</v>
      </c>
      <c r="P5" s="161">
        <v>0.15528571675153199</v>
      </c>
      <c r="Q5" s="161">
        <v>7.3599236352190796E-3</v>
      </c>
      <c r="S5" s="163">
        <f>AVERAGE(B5,D5,F5,H5,J5,L5,N5,P5)</f>
        <v>0.11338742864009671</v>
      </c>
      <c r="T5" s="163">
        <f>AVERAGE(C5,E5,G5,I5,K5,M5,O5,Q5)</f>
        <v>6.3960398971173397E-3</v>
      </c>
    </row>
    <row r="6" spans="1:20" s="162" customFormat="1" x14ac:dyDescent="0.3">
      <c r="A6" s="160">
        <v>1000</v>
      </c>
      <c r="B6" s="161">
        <v>6.9208168814280602E-2</v>
      </c>
      <c r="C6" s="161">
        <v>1.13929825867209E-2</v>
      </c>
      <c r="D6" s="161">
        <v>0.27313209200896599</v>
      </c>
      <c r="E6" s="161">
        <v>8.9932325874067208E-3</v>
      </c>
      <c r="F6" s="161">
        <v>0.180247478634222</v>
      </c>
      <c r="G6" s="161">
        <v>3.67375092158744E-3</v>
      </c>
      <c r="H6" s="161">
        <v>8.6648124182508904E-2</v>
      </c>
      <c r="I6" s="161">
        <v>6.3146484846061902E-3</v>
      </c>
      <c r="J6" s="161">
        <v>5.5114978079649803E-2</v>
      </c>
      <c r="K6" s="161">
        <v>3.4679888527203999E-3</v>
      </c>
      <c r="L6" s="161">
        <v>6.6114812313083901E-2</v>
      </c>
      <c r="M6" s="161">
        <v>1.6115959057968899E-3</v>
      </c>
      <c r="N6" s="161">
        <v>3.8571798276427302E-2</v>
      </c>
      <c r="O6" s="161">
        <v>2.47999418546048E-3</v>
      </c>
      <c r="P6" s="161">
        <v>0.15298424959005799</v>
      </c>
      <c r="Q6" s="161">
        <v>9.2907880550894897E-3</v>
      </c>
      <c r="S6" s="163">
        <f t="shared" ref="S6:S9" si="0">AVERAGE(B6,D6,F6,H6,J6,L6,N6,P6)</f>
        <v>0.11525271273739957</v>
      </c>
      <c r="T6" s="163">
        <f t="shared" ref="T6:T10" si="1">AVERAGE(C6,E6,G6,I6,K6,M6,O6,Q6)</f>
        <v>5.9031226974235644E-3</v>
      </c>
    </row>
    <row r="7" spans="1:20" s="162" customFormat="1" x14ac:dyDescent="0.3">
      <c r="A7" s="160">
        <v>1250</v>
      </c>
      <c r="B7" s="161">
        <v>7.14339520037829E-2</v>
      </c>
      <c r="C7" s="161">
        <v>1.48335492450544E-2</v>
      </c>
      <c r="D7" s="161">
        <v>0.26488429208591502</v>
      </c>
      <c r="E7" s="161">
        <v>1.22876080619801E-2</v>
      </c>
      <c r="F7" s="161">
        <v>0.18193434755639701</v>
      </c>
      <c r="G7" s="161">
        <v>1.3699387743617199E-3</v>
      </c>
      <c r="H7" s="161">
        <v>8.1769021257750193E-2</v>
      </c>
      <c r="I7" s="161">
        <v>5.3651723297538003E-3</v>
      </c>
      <c r="J7" s="161">
        <v>5.4637073972292297E-2</v>
      </c>
      <c r="K7" s="161">
        <v>2.70046745481795E-3</v>
      </c>
      <c r="L7" s="161">
        <v>6.4435408529840504E-2</v>
      </c>
      <c r="M7" s="161">
        <v>4.5471042668879502E-4</v>
      </c>
      <c r="N7" s="161">
        <v>3.7410396178701899E-2</v>
      </c>
      <c r="O7" s="161">
        <v>2.11231928776597E-3</v>
      </c>
      <c r="P7" s="161">
        <v>0.15655063433157901</v>
      </c>
      <c r="Q7" s="161">
        <v>7.1195475672362202E-3</v>
      </c>
      <c r="S7" s="163">
        <f t="shared" si="0"/>
        <v>0.11413189073953237</v>
      </c>
      <c r="T7" s="163">
        <f t="shared" si="1"/>
        <v>5.7804141434573703E-3</v>
      </c>
    </row>
    <row r="8" spans="1:20" s="162" customFormat="1" x14ac:dyDescent="0.3">
      <c r="A8" s="160">
        <v>1500</v>
      </c>
      <c r="B8" s="161">
        <v>6.8957828628004397E-2</v>
      </c>
      <c r="C8" s="161">
        <v>1.5289871540786501E-2</v>
      </c>
      <c r="D8" s="161">
        <v>0.26634478225956798</v>
      </c>
      <c r="E8" s="161">
        <v>8.4628760666056804E-3</v>
      </c>
      <c r="F8" s="161">
        <v>0.179858468482439</v>
      </c>
      <c r="G8" s="161">
        <v>2.4986416691221199E-3</v>
      </c>
      <c r="H8" s="161">
        <v>8.1152714401378598E-2</v>
      </c>
      <c r="I8" s="161">
        <v>8.6095629668446992E-3</v>
      </c>
      <c r="J8" s="161">
        <v>5.2168453000715202E-2</v>
      </c>
      <c r="K8" s="161">
        <v>1.9696928901557602E-3</v>
      </c>
      <c r="L8" s="161">
        <v>6.3266467625652703E-2</v>
      </c>
      <c r="M8" s="161">
        <v>9.9305434300457E-4</v>
      </c>
      <c r="N8" s="161">
        <v>3.5736205685383701E-2</v>
      </c>
      <c r="O8" s="161">
        <v>1.4656226195232901E-3</v>
      </c>
      <c r="P8" s="161">
        <v>0.154430767239147</v>
      </c>
      <c r="Q8" s="161">
        <v>5.7836109439155497E-3</v>
      </c>
      <c r="S8" s="163">
        <f t="shared" si="0"/>
        <v>0.11273946091528608</v>
      </c>
      <c r="T8" s="163">
        <f t="shared" si="1"/>
        <v>5.6341166299947714E-3</v>
      </c>
    </row>
    <row r="9" spans="1:20" s="162" customFormat="1" x14ac:dyDescent="0.3">
      <c r="A9" s="160">
        <v>2000</v>
      </c>
      <c r="B9" s="161">
        <v>7.8314311891356805E-2</v>
      </c>
      <c r="C9" s="161">
        <v>1.1729951074900401E-2</v>
      </c>
      <c r="D9" s="161">
        <v>0.259755358080696</v>
      </c>
      <c r="E9" s="161">
        <v>8.7959066185880706E-3</v>
      </c>
      <c r="F9" s="161">
        <v>0.180210584912745</v>
      </c>
      <c r="G9" s="161">
        <v>2.18036345676493E-3</v>
      </c>
      <c r="H9" s="161">
        <v>8.6818583825829604E-2</v>
      </c>
      <c r="I9" s="161">
        <v>6.7760493255014098E-3</v>
      </c>
      <c r="J9" s="161">
        <v>5.4596210457720097E-2</v>
      </c>
      <c r="K9" s="161">
        <v>2.8716945377961099E-3</v>
      </c>
      <c r="L9" s="161">
        <v>6.5907582669303105E-2</v>
      </c>
      <c r="M9" s="161">
        <v>5.8898700822531997E-4</v>
      </c>
      <c r="N9" s="161">
        <v>3.6651854627201198E-2</v>
      </c>
      <c r="O9" s="161">
        <v>1.1226418470774969E-3</v>
      </c>
      <c r="P9" s="161">
        <v>0.14644071804608599</v>
      </c>
      <c r="Q9" s="161">
        <v>8.4837223912998701E-3</v>
      </c>
      <c r="S9" s="163">
        <f>AVERAGE(B9,D9,F9,H9,J9,L9,N9,P9)</f>
        <v>0.11358690056386722</v>
      </c>
      <c r="T9" s="163">
        <f t="shared" si="1"/>
        <v>5.3186645325192013E-3</v>
      </c>
    </row>
    <row r="10" spans="1:20" x14ac:dyDescent="0.3">
      <c r="A10" s="43" t="s">
        <v>68</v>
      </c>
      <c r="B10" s="164">
        <v>7.0900000000000005E-2</v>
      </c>
      <c r="C10" s="164">
        <v>1.01E-2</v>
      </c>
      <c r="D10" s="164">
        <v>0.26979999999999998</v>
      </c>
      <c r="E10" s="164">
        <v>1.3100000000000001E-2</v>
      </c>
      <c r="F10" s="164">
        <v>0.1802</v>
      </c>
      <c r="G10" s="164">
        <v>1.2999999999999999E-3</v>
      </c>
      <c r="H10" s="164">
        <v>8.5900000000000004E-2</v>
      </c>
      <c r="I10" s="164">
        <v>7.1000000000000004E-3</v>
      </c>
      <c r="J10" s="164">
        <v>5.3100000000000001E-2</v>
      </c>
      <c r="K10" s="164">
        <v>3.2000000000000002E-3</v>
      </c>
      <c r="L10" s="164">
        <v>6.6799999999999998E-2</v>
      </c>
      <c r="M10" s="164">
        <v>1.6000000000000001E-3</v>
      </c>
      <c r="N10" s="164">
        <v>3.5200000000000002E-2</v>
      </c>
      <c r="O10" s="164">
        <v>2.2000000000000001E-3</v>
      </c>
      <c r="P10" s="164">
        <v>0.14929999999999999</v>
      </c>
      <c r="Q10" s="164">
        <v>8.8000000000000005E-3</v>
      </c>
      <c r="S10" s="165">
        <f>AVERAGE(B10,D10,F10,H10,J10,L10,N10,P10)</f>
        <v>0.1139</v>
      </c>
      <c r="T10" s="165">
        <f>AVERAGE(C10,E10,G10,I10,K10,M10,O10,Q10)</f>
        <v>5.9249999999999997E-3</v>
      </c>
    </row>
    <row r="11" spans="1:20" x14ac:dyDescent="0.3"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</row>
    <row r="12" spans="1:20" x14ac:dyDescent="0.3"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</row>
  </sheetData>
  <mergeCells count="8">
    <mergeCell ref="D3:E3"/>
    <mergeCell ref="P3:Q3"/>
    <mergeCell ref="L3:M3"/>
    <mergeCell ref="N3:O3"/>
    <mergeCell ref="J3:K3"/>
    <mergeCell ref="H3:I3"/>
    <mergeCell ref="F3:G3"/>
    <mergeCell ref="B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Tuning Parameter w</vt:lpstr>
      <vt:lpstr>cooling rate</vt:lpstr>
      <vt:lpstr>percentage to destroy</vt:lpstr>
      <vt:lpstr>segment size</vt:lpstr>
      <vt:lpstr>scores</vt:lpstr>
      <vt:lpstr>Reaction Factor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Ifigeneia Tziola</dc:creator>
  <cp:lastModifiedBy>ifigeneia tziola</cp:lastModifiedBy>
  <dcterms:created xsi:type="dcterms:W3CDTF">2024-12-29T13:03:30Z</dcterms:created>
  <dcterms:modified xsi:type="dcterms:W3CDTF">2025-02-02T13:16:53Z</dcterms:modified>
</cp:coreProperties>
</file>