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698\Desktop\"/>
    </mc:Choice>
  </mc:AlternateContent>
  <xr:revisionPtr revIDLastSave="0" documentId="13_ncr:1_{D9DCF070-23D4-412E-ABA2-995EE71AF269}" xr6:coauthVersionLast="47" xr6:coauthVersionMax="47" xr10:uidLastSave="{00000000-0000-0000-0000-000000000000}"/>
  <bookViews>
    <workbookView xWindow="-108" yWindow="-108" windowWidth="23256" windowHeight="12576" xr2:uid="{F859042D-0A3F-4F2D-B1A8-36ADC73A2517}"/>
  </bookViews>
  <sheets>
    <sheet name="simulations results in 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</calcChain>
</file>

<file path=xl/sharedStrings.xml><?xml version="1.0" encoding="utf-8"?>
<sst xmlns="http://schemas.openxmlformats.org/spreadsheetml/2006/main" count="118" uniqueCount="26">
  <si>
    <t>Set</t>
  </si>
  <si>
    <t>mean distance (m)</t>
  </si>
  <si>
    <t>mean time (s)</t>
  </si>
  <si>
    <t>mean time (h)</t>
  </si>
  <si>
    <t>mean waiting time (s)</t>
  </si>
  <si>
    <t>mean waiting time (h)</t>
  </si>
  <si>
    <t>mean total early violations (s)</t>
  </si>
  <si>
    <t>mean total early violations (h)</t>
  </si>
  <si>
    <t>mean total late violations (s)</t>
  </si>
  <si>
    <t>mean total late violations (h)</t>
  </si>
  <si>
    <t>mean total violations (s)</t>
  </si>
  <si>
    <t>mean total violations (h)</t>
  </si>
  <si>
    <t>mean total time (travel + waiting) (h)</t>
  </si>
  <si>
    <t>05_16</t>
  </si>
  <si>
    <t>06_16</t>
  </si>
  <si>
    <t>08_02</t>
  </si>
  <si>
    <t>(0.3, 0.4, 0.3)</t>
  </si>
  <si>
    <t>(d , t, v)</t>
  </si>
  <si>
    <t>(0.4, 0.4, 0.2)</t>
  </si>
  <si>
    <t>(0.5, 0.3, 0.2)</t>
  </si>
  <si>
    <t>(0.35, 0.35, 0.3)</t>
  </si>
  <si>
    <t>(0.45, 0.35, 0.2)</t>
  </si>
  <si>
    <t>(0.2, 0.4, 0.4)</t>
  </si>
  <si>
    <t>(0.15, 0.4, 0.45)</t>
  </si>
  <si>
    <t>(0.3, 0.3, 0.4)</t>
  </si>
  <si>
    <t>(0.25, 0.35, 0.4)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</si>
</sst>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3" borderId="0" xfId="0" applyFill="1"/>
    <xf numFmtId="0" fontId="0" fillId="33" borderId="12" xfId="0" applyFill="1" applyBorder="1"/>
    <xf numFmtId="0" fontId="0" fillId="33" borderId="10" xfId="0" applyFill="1" applyBorder="1"/>
    <xf numFmtId="0" fontId="0" fillId="33" borderId="13" xfId="0" applyFill="1" applyBorder="1"/>
    <xf numFmtId="0" fontId="0" fillId="34" borderId="0" xfId="0" applyFill="1"/>
    <xf numFmtId="0" fontId="0" fillId="34" borderId="12" xfId="0" applyFill="1" applyBorder="1"/>
    <xf numFmtId="0" fontId="0" fillId="34" borderId="10" xfId="0" applyFill="1" applyBorder="1"/>
    <xf numFmtId="0" fontId="0" fillId="34" borderId="13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/>
    <xf numFmtId="0" fontId="0" fillId="33" borderId="11" xfId="0" applyFill="1" applyBorder="1"/>
    <xf numFmtId="0" fontId="0" fillId="33" borderId="14" xfId="0" applyFill="1" applyBorder="1"/>
    <xf numFmtId="0" fontId="0" fillId="34" borderId="11" xfId="0" applyFill="1" applyBorder="1"/>
    <xf numFmtId="0" fontId="0" fillId="34" borderId="14" xfId="0" applyFill="1" applyBorder="1"/>
    <xf numFmtId="0" fontId="0" fillId="35" borderId="0" xfId="0" applyFill="1"/>
    <xf numFmtId="0" fontId="0" fillId="35" borderId="12" xfId="0" applyFill="1" applyBorder="1"/>
    <xf numFmtId="0" fontId="0" fillId="35" borderId="11" xfId="0" applyFill="1" applyBorder="1"/>
    <xf numFmtId="0" fontId="0" fillId="35" borderId="14" xfId="0" applyFill="1" applyBorder="1"/>
    <xf numFmtId="0" fontId="0" fillId="36" borderId="11" xfId="0" applyFill="1" applyBorder="1"/>
    <xf numFmtId="0" fontId="0" fillId="36" borderId="0" xfId="0" applyFill="1"/>
    <xf numFmtId="0" fontId="0" fillId="36" borderId="14" xfId="0" applyFill="1" applyBorder="1"/>
    <xf numFmtId="0" fontId="0" fillId="36" borderId="12" xfId="0" applyFill="1" applyBorder="1"/>
    <xf numFmtId="0" fontId="0" fillId="35" borderId="10" xfId="0" applyFill="1" applyBorder="1"/>
    <xf numFmtId="0" fontId="0" fillId="35" borderId="13" xfId="0" applyFill="1" applyBorder="1"/>
    <xf numFmtId="0" fontId="16" fillId="0" borderId="1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0" fillId="0" borderId="0" xfId="0" applyBorder="1"/>
    <xf numFmtId="0" fontId="16" fillId="0" borderId="0" xfId="0" applyFont="1" applyBorder="1" applyAlignment="1">
      <alignment horizontal="center" vertical="center" wrapText="1"/>
    </xf>
    <xf numFmtId="0" fontId="0" fillId="33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F58A-0FE8-4EDA-ABC0-BBC9CBA19D5F}">
  <dimension ref="A2:SH24"/>
  <sheetViews>
    <sheetView tabSelected="1" topLeftCell="AI1" workbookViewId="0">
      <selection activeCell="AL20" sqref="AL20"/>
    </sheetView>
  </sheetViews>
  <sheetFormatPr defaultRowHeight="14.4" x14ac:dyDescent="0.3"/>
  <cols>
    <col min="1" max="1" width="4.77734375" style="6" customWidth="1"/>
    <col min="2" max="2" width="6.5546875" style="6" customWidth="1"/>
    <col min="3" max="3" width="16" style="6" customWidth="1"/>
    <col min="4" max="4" width="10.5546875" customWidth="1"/>
    <col min="5" max="5" width="8.44140625" customWidth="1"/>
    <col min="6" max="6" width="12.44140625" customWidth="1"/>
    <col min="7" max="7" width="11.21875" customWidth="1"/>
    <col min="8" max="8" width="12.5546875" customWidth="1"/>
    <col min="9" max="9" width="12.88671875" customWidth="1"/>
    <col min="10" max="10" width="11.6640625" customWidth="1"/>
    <col min="11" max="11" width="10.77734375" customWidth="1"/>
    <col min="12" max="12" width="11.21875" customWidth="1"/>
    <col min="13" max="13" width="12.44140625" customWidth="1"/>
    <col min="14" max="14" width="13.21875" customWidth="1"/>
    <col min="15" max="15" width="20" style="6" customWidth="1"/>
    <col min="16" max="16" width="20" style="40" customWidth="1"/>
    <col min="17" max="17" width="10.5546875" customWidth="1"/>
    <col min="18" max="18" width="8.44140625" customWidth="1"/>
    <col min="19" max="19" width="12.44140625" customWidth="1"/>
    <col min="20" max="20" width="11.21875" customWidth="1"/>
    <col min="21" max="21" width="12.5546875" customWidth="1"/>
    <col min="22" max="22" width="12.88671875" customWidth="1"/>
    <col min="23" max="23" width="11.6640625" customWidth="1"/>
    <col min="24" max="24" width="10.77734375" customWidth="1"/>
    <col min="25" max="25" width="11.21875" customWidth="1"/>
    <col min="26" max="26" width="12.44140625" customWidth="1"/>
    <col min="27" max="27" width="13.21875" customWidth="1"/>
    <col min="28" max="28" width="20" customWidth="1"/>
    <col min="29" max="29" width="10.5546875" customWidth="1"/>
    <col min="30" max="30" width="8.44140625" customWidth="1"/>
    <col min="31" max="31" width="12.44140625" customWidth="1"/>
    <col min="32" max="32" width="11.21875" customWidth="1"/>
    <col min="33" max="33" width="12.5546875" customWidth="1"/>
    <col min="34" max="34" width="12.88671875" customWidth="1"/>
    <col min="35" max="35" width="11.6640625" customWidth="1"/>
    <col min="36" max="36" width="10.77734375" customWidth="1"/>
    <col min="37" max="37" width="11.21875" customWidth="1"/>
    <col min="38" max="38" width="12.44140625" customWidth="1"/>
    <col min="39" max="39" width="13.21875" customWidth="1"/>
    <col min="40" max="40" width="20" style="6" customWidth="1"/>
    <col min="41" max="41" width="10.5546875" customWidth="1"/>
    <col min="42" max="42" width="8.44140625" customWidth="1"/>
    <col min="43" max="43" width="12.44140625" customWidth="1"/>
    <col min="44" max="44" width="11.21875" customWidth="1"/>
    <col min="45" max="45" width="12.5546875" customWidth="1"/>
    <col min="46" max="46" width="12.88671875" customWidth="1"/>
    <col min="47" max="47" width="11.6640625" customWidth="1"/>
    <col min="48" max="48" width="10.77734375" customWidth="1"/>
    <col min="49" max="49" width="11.21875" customWidth="1"/>
    <col min="50" max="50" width="12.44140625" customWidth="1"/>
    <col min="51" max="51" width="13.21875" customWidth="1"/>
    <col min="52" max="52" width="20" style="6" customWidth="1"/>
    <col min="53" max="53" width="10.5546875" customWidth="1"/>
    <col min="54" max="54" width="8.44140625" customWidth="1"/>
    <col min="55" max="55" width="12.44140625" customWidth="1"/>
    <col min="56" max="56" width="11.21875" customWidth="1"/>
    <col min="57" max="57" width="12.5546875" customWidth="1"/>
    <col min="58" max="58" width="12.88671875" customWidth="1"/>
    <col min="59" max="59" width="11.6640625" customWidth="1"/>
    <col min="60" max="60" width="10.77734375" customWidth="1"/>
    <col min="61" max="61" width="11.21875" customWidth="1"/>
    <col min="62" max="62" width="12.44140625" customWidth="1"/>
    <col min="63" max="63" width="13.21875" customWidth="1"/>
    <col min="64" max="64" width="20" style="6" customWidth="1"/>
    <col min="65" max="65" width="10.5546875" customWidth="1"/>
    <col min="66" max="66" width="8.44140625" customWidth="1"/>
    <col min="67" max="67" width="12.44140625" customWidth="1"/>
    <col min="68" max="68" width="11.21875" customWidth="1"/>
    <col min="69" max="69" width="12.5546875" customWidth="1"/>
    <col min="70" max="70" width="12.88671875" customWidth="1"/>
    <col min="71" max="71" width="11.6640625" customWidth="1"/>
    <col min="72" max="72" width="10.77734375" customWidth="1"/>
    <col min="73" max="73" width="11.21875" customWidth="1"/>
    <col min="74" max="74" width="12.44140625" customWidth="1"/>
    <col min="75" max="75" width="13.21875" customWidth="1"/>
    <col min="76" max="76" width="20" style="6" customWidth="1"/>
    <col min="77" max="77" width="10.5546875" customWidth="1"/>
    <col min="78" max="78" width="8.44140625" customWidth="1"/>
    <col min="79" max="79" width="12.44140625" customWidth="1"/>
    <col min="80" max="80" width="11.21875" customWidth="1"/>
    <col min="81" max="81" width="12.5546875" customWidth="1"/>
    <col min="82" max="82" width="12.88671875" customWidth="1"/>
    <col min="83" max="83" width="11.6640625" customWidth="1"/>
    <col min="84" max="84" width="10.77734375" customWidth="1"/>
    <col min="85" max="85" width="11.21875" customWidth="1"/>
    <col min="86" max="86" width="12.44140625" customWidth="1"/>
    <col min="87" max="87" width="13.21875" customWidth="1"/>
    <col min="88" max="88" width="20" style="6" customWidth="1"/>
    <col min="89" max="89" width="10.5546875" customWidth="1"/>
    <col min="90" max="90" width="8.44140625" customWidth="1"/>
    <col min="91" max="91" width="12.44140625" customWidth="1"/>
    <col min="92" max="92" width="11.21875" customWidth="1"/>
    <col min="93" max="93" width="12.5546875" customWidth="1"/>
    <col min="94" max="94" width="12.88671875" customWidth="1"/>
    <col min="95" max="95" width="11.6640625" customWidth="1"/>
    <col min="96" max="96" width="10.77734375" customWidth="1"/>
    <col min="97" max="97" width="11.21875" customWidth="1"/>
    <col min="98" max="98" width="12.44140625" customWidth="1"/>
    <col min="99" max="99" width="13.21875" customWidth="1"/>
    <col min="100" max="100" width="20" style="6" customWidth="1"/>
    <col min="101" max="101" width="11.88671875" bestFit="1" customWidth="1"/>
    <col min="102" max="102" width="18" bestFit="1" customWidth="1"/>
    <col min="103" max="103" width="18.109375" bestFit="1" customWidth="1"/>
    <col min="104" max="104" width="24.21875" bestFit="1" customWidth="1"/>
    <col min="105" max="105" width="24.33203125" bestFit="1" customWidth="1"/>
    <col min="106" max="106" width="23.33203125" bestFit="1" customWidth="1"/>
    <col min="107" max="107" width="23.44140625" bestFit="1" customWidth="1"/>
    <col min="108" max="108" width="19.88671875" bestFit="1" customWidth="1"/>
    <col min="109" max="109" width="20" bestFit="1" customWidth="1"/>
    <col min="110" max="110" width="29.5546875" bestFit="1" customWidth="1"/>
  </cols>
  <sheetData>
    <row r="2" spans="1:502" s="1" customFormat="1" ht="15" thickBot="1" x14ac:dyDescent="0.35">
      <c r="A2" s="4"/>
      <c r="B2" s="4"/>
      <c r="C2" s="4"/>
      <c r="D2"/>
      <c r="E2"/>
      <c r="F2"/>
      <c r="G2"/>
      <c r="H2"/>
      <c r="I2"/>
      <c r="J2"/>
      <c r="K2"/>
      <c r="L2"/>
      <c r="M2"/>
      <c r="N2"/>
      <c r="O2" s="6"/>
      <c r="P2" s="40"/>
      <c r="AN2" s="4"/>
      <c r="AZ2" s="4"/>
      <c r="BL2" s="4"/>
      <c r="BX2" s="4"/>
      <c r="CJ2" s="4"/>
      <c r="CV2" s="4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</row>
    <row r="3" spans="1:502" s="1" customFormat="1" ht="15" thickBot="1" x14ac:dyDescent="0.35">
      <c r="A3" s="4"/>
      <c r="B3" s="4"/>
      <c r="C3" s="1" t="s">
        <v>0</v>
      </c>
      <c r="D3" s="37">
        <v>1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9"/>
      <c r="P3" s="41"/>
      <c r="Q3" s="36">
        <v>2</v>
      </c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>
        <v>3</v>
      </c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 t="s">
        <v>13</v>
      </c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 t="s">
        <v>14</v>
      </c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 t="s">
        <v>15</v>
      </c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>
        <v>9</v>
      </c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>
        <v>10</v>
      </c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</row>
    <row r="4" spans="1:502" s="2" customFormat="1" ht="43.2" customHeight="1" x14ac:dyDescent="0.3">
      <c r="A4" s="5"/>
      <c r="B4" s="5"/>
      <c r="C4" s="5"/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9" t="s">
        <v>12</v>
      </c>
      <c r="P4" s="8"/>
      <c r="Q4" s="3" t="s">
        <v>1</v>
      </c>
      <c r="R4" s="3" t="s">
        <v>2</v>
      </c>
      <c r="S4" s="3" t="s">
        <v>3</v>
      </c>
      <c r="T4" s="3" t="s">
        <v>4</v>
      </c>
      <c r="U4" s="3" t="s">
        <v>5</v>
      </c>
      <c r="V4" s="3" t="s">
        <v>6</v>
      </c>
      <c r="W4" s="3" t="s">
        <v>7</v>
      </c>
      <c r="X4" s="3" t="s">
        <v>8</v>
      </c>
      <c r="Y4" s="3" t="s">
        <v>9</v>
      </c>
      <c r="Z4" s="3" t="s">
        <v>10</v>
      </c>
      <c r="AA4" s="3" t="s">
        <v>11</v>
      </c>
      <c r="AB4" s="3" t="s">
        <v>12</v>
      </c>
      <c r="AC4" s="3" t="s">
        <v>1</v>
      </c>
      <c r="AD4" s="3" t="s">
        <v>2</v>
      </c>
      <c r="AE4" s="3" t="s">
        <v>3</v>
      </c>
      <c r="AF4" s="3" t="s">
        <v>4</v>
      </c>
      <c r="AG4" s="3" t="s">
        <v>5</v>
      </c>
      <c r="AH4" s="3" t="s">
        <v>6</v>
      </c>
      <c r="AI4" s="3" t="s">
        <v>7</v>
      </c>
      <c r="AJ4" s="3" t="s">
        <v>8</v>
      </c>
      <c r="AK4" s="3" t="s">
        <v>9</v>
      </c>
      <c r="AL4" s="3" t="s">
        <v>10</v>
      </c>
      <c r="AM4" s="3" t="s">
        <v>11</v>
      </c>
      <c r="AN4" s="7" t="s">
        <v>12</v>
      </c>
      <c r="AO4" s="3" t="s">
        <v>1</v>
      </c>
      <c r="AP4" s="3" t="s">
        <v>2</v>
      </c>
      <c r="AQ4" s="3" t="s">
        <v>3</v>
      </c>
      <c r="AR4" s="3" t="s">
        <v>4</v>
      </c>
      <c r="AS4" s="3" t="s">
        <v>5</v>
      </c>
      <c r="AT4" s="3" t="s">
        <v>6</v>
      </c>
      <c r="AU4" s="3" t="s">
        <v>7</v>
      </c>
      <c r="AV4" s="3" t="s">
        <v>8</v>
      </c>
      <c r="AW4" s="3" t="s">
        <v>9</v>
      </c>
      <c r="AX4" s="3" t="s">
        <v>10</v>
      </c>
      <c r="AY4" s="3" t="s">
        <v>11</v>
      </c>
      <c r="AZ4" s="7" t="s">
        <v>12</v>
      </c>
      <c r="BA4" s="3" t="s">
        <v>1</v>
      </c>
      <c r="BB4" s="3" t="s">
        <v>2</v>
      </c>
      <c r="BC4" s="3" t="s">
        <v>3</v>
      </c>
      <c r="BD4" s="3" t="s">
        <v>4</v>
      </c>
      <c r="BE4" s="3" t="s">
        <v>5</v>
      </c>
      <c r="BF4" s="3" t="s">
        <v>6</v>
      </c>
      <c r="BG4" s="3" t="s">
        <v>7</v>
      </c>
      <c r="BH4" s="3" t="s">
        <v>8</v>
      </c>
      <c r="BI4" s="3" t="s">
        <v>9</v>
      </c>
      <c r="BJ4" s="3" t="s">
        <v>10</v>
      </c>
      <c r="BK4" s="3" t="s">
        <v>11</v>
      </c>
      <c r="BL4" s="7" t="s">
        <v>12</v>
      </c>
      <c r="BM4" s="3" t="s">
        <v>1</v>
      </c>
      <c r="BN4" s="3" t="s">
        <v>2</v>
      </c>
      <c r="BO4" s="3" t="s">
        <v>3</v>
      </c>
      <c r="BP4" s="3" t="s">
        <v>4</v>
      </c>
      <c r="BQ4" s="3" t="s">
        <v>5</v>
      </c>
      <c r="BR4" s="3" t="s">
        <v>6</v>
      </c>
      <c r="BS4" s="3" t="s">
        <v>7</v>
      </c>
      <c r="BT4" s="3" t="s">
        <v>8</v>
      </c>
      <c r="BU4" s="3" t="s">
        <v>9</v>
      </c>
      <c r="BV4" s="3" t="s">
        <v>10</v>
      </c>
      <c r="BW4" s="3" t="s">
        <v>11</v>
      </c>
      <c r="BX4" s="7" t="s">
        <v>12</v>
      </c>
      <c r="BY4" s="3" t="s">
        <v>1</v>
      </c>
      <c r="BZ4" s="3" t="s">
        <v>2</v>
      </c>
      <c r="CA4" s="3" t="s">
        <v>3</v>
      </c>
      <c r="CB4" s="3" t="s">
        <v>4</v>
      </c>
      <c r="CC4" s="3" t="s">
        <v>5</v>
      </c>
      <c r="CD4" s="3" t="s">
        <v>6</v>
      </c>
      <c r="CE4" s="3" t="s">
        <v>7</v>
      </c>
      <c r="CF4" s="3" t="s">
        <v>8</v>
      </c>
      <c r="CG4" s="3" t="s">
        <v>9</v>
      </c>
      <c r="CH4" s="3" t="s">
        <v>10</v>
      </c>
      <c r="CI4" s="3" t="s">
        <v>11</v>
      </c>
      <c r="CJ4" s="7" t="s">
        <v>12</v>
      </c>
      <c r="CK4" s="3" t="s">
        <v>1</v>
      </c>
      <c r="CL4" s="3" t="s">
        <v>2</v>
      </c>
      <c r="CM4" s="3" t="s">
        <v>3</v>
      </c>
      <c r="CN4" s="3" t="s">
        <v>4</v>
      </c>
      <c r="CO4" s="3" t="s">
        <v>5</v>
      </c>
      <c r="CP4" s="3" t="s">
        <v>6</v>
      </c>
      <c r="CQ4" s="3" t="s">
        <v>7</v>
      </c>
      <c r="CR4" s="3" t="s">
        <v>8</v>
      </c>
      <c r="CS4" s="3" t="s">
        <v>9</v>
      </c>
      <c r="CT4" s="3" t="s">
        <v>10</v>
      </c>
      <c r="CU4" s="3" t="s">
        <v>11</v>
      </c>
      <c r="CV4" s="7" t="s">
        <v>12</v>
      </c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</row>
    <row r="5" spans="1:502" x14ac:dyDescent="0.3">
      <c r="B5" s="18" t="s">
        <v>17</v>
      </c>
      <c r="C5" s="18" t="s">
        <v>16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42">
        <f xml:space="preserve"> 0.4 * Q5 * 0.22974 + 0.4 * R5 + 0.2 * X5</f>
        <v>15447.680492000001</v>
      </c>
      <c r="Q5" s="14">
        <v>78014.5</v>
      </c>
      <c r="R5" s="14">
        <v>20437.400000000001</v>
      </c>
      <c r="S5" s="14">
        <v>5.677055556</v>
      </c>
      <c r="T5" s="14">
        <v>765.5</v>
      </c>
      <c r="U5" s="14">
        <v>0.212638889</v>
      </c>
      <c r="V5" s="14">
        <v>0</v>
      </c>
      <c r="W5" s="14">
        <v>0</v>
      </c>
      <c r="X5" s="14">
        <v>517.5</v>
      </c>
      <c r="Y5" s="14">
        <v>0.14374999999999999</v>
      </c>
      <c r="Z5" s="14">
        <v>517.5</v>
      </c>
      <c r="AA5" s="14">
        <v>0.14374999999999999</v>
      </c>
      <c r="AB5" s="15">
        <v>5.8896944439999999</v>
      </c>
      <c r="AC5" s="31">
        <v>37680</v>
      </c>
      <c r="AD5" s="31">
        <v>12226</v>
      </c>
      <c r="AE5" s="31">
        <v>3.3961111111111113</v>
      </c>
      <c r="AF5" s="31">
        <v>12774.2</v>
      </c>
      <c r="AG5" s="31">
        <v>3.5483888888888893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3">
        <v>6.9445000000000006</v>
      </c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7"/>
      <c r="BY5" s="26">
        <v>36733.300000000003</v>
      </c>
      <c r="BZ5" s="26">
        <v>14737.3</v>
      </c>
      <c r="CA5" s="26">
        <v>4.0936944444444441</v>
      </c>
      <c r="CB5" s="26">
        <v>11306.5</v>
      </c>
      <c r="CC5" s="26">
        <v>3.1406944444444442</v>
      </c>
      <c r="CD5" s="26">
        <v>0</v>
      </c>
      <c r="CE5" s="26">
        <v>0</v>
      </c>
      <c r="CF5" s="26">
        <v>118.9</v>
      </c>
      <c r="CG5" s="26">
        <v>3.3027777777777781E-2</v>
      </c>
      <c r="CH5" s="26">
        <v>118.9</v>
      </c>
      <c r="CI5" s="26">
        <v>3.3027777777777781E-2</v>
      </c>
      <c r="CJ5" s="27">
        <v>7.2343888888888896</v>
      </c>
      <c r="CK5">
        <v>25878.7</v>
      </c>
      <c r="CL5">
        <v>16283.4</v>
      </c>
      <c r="CM5">
        <v>4.5231666666666666</v>
      </c>
      <c r="CN5">
        <v>12104.6</v>
      </c>
      <c r="CO5">
        <v>3.3623888888888889</v>
      </c>
      <c r="CP5">
        <v>0</v>
      </c>
      <c r="CQ5">
        <v>0</v>
      </c>
      <c r="CR5">
        <v>3.7</v>
      </c>
      <c r="CS5">
        <v>1.0277777777777778E-3</v>
      </c>
      <c r="CT5">
        <v>3.7</v>
      </c>
      <c r="CU5">
        <v>1.0277777777777778E-3</v>
      </c>
      <c r="CV5" s="6">
        <v>7.8855555555555554</v>
      </c>
    </row>
    <row r="6" spans="1:502" s="2" customFormat="1" x14ac:dyDescent="0.3">
      <c r="A6" s="5"/>
      <c r="B6" s="20" t="s">
        <v>17</v>
      </c>
      <c r="C6" s="20" t="s">
        <v>18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42">
        <f t="shared" ref="P6:P13" si="0" xml:space="preserve"> 0.4 * Q6 * 0.22974 + 0.4 * R6 + 0.2 * X6</f>
        <v>15481.2987608</v>
      </c>
      <c r="Q6" s="30">
        <v>76277.3</v>
      </c>
      <c r="R6" s="30">
        <v>20357.8</v>
      </c>
      <c r="S6" s="30">
        <v>5.6549444439999998</v>
      </c>
      <c r="T6" s="30">
        <v>1722.2</v>
      </c>
      <c r="U6" s="30">
        <v>0.47838888899999998</v>
      </c>
      <c r="V6" s="30">
        <v>0</v>
      </c>
      <c r="W6" s="30">
        <v>0</v>
      </c>
      <c r="X6" s="30">
        <v>1643</v>
      </c>
      <c r="Y6" s="30">
        <v>0.45638888900000002</v>
      </c>
      <c r="Z6" s="30">
        <v>1643</v>
      </c>
      <c r="AA6" s="30">
        <v>0.45638888900000002</v>
      </c>
      <c r="AB6" s="32">
        <v>6.1333333330000004</v>
      </c>
      <c r="AC6" s="22">
        <v>37745.5</v>
      </c>
      <c r="AD6" s="22">
        <v>12233.2</v>
      </c>
      <c r="AE6" s="22">
        <v>3.3981111111111115</v>
      </c>
      <c r="AF6" s="22">
        <v>12699.8</v>
      </c>
      <c r="AG6" s="22">
        <v>3.5277222222222222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3">
        <v>6.9258333333333342</v>
      </c>
      <c r="AZ6" s="5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9"/>
      <c r="BX6" s="5"/>
      <c r="BY6" s="28">
        <v>36742.800000000003</v>
      </c>
      <c r="BZ6" s="28">
        <v>14739.7</v>
      </c>
      <c r="CA6" s="28">
        <v>4.0943611111111116</v>
      </c>
      <c r="CB6" s="28">
        <v>11293.8</v>
      </c>
      <c r="CC6" s="28">
        <v>3.1371666666666664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9">
        <v>7.2315277777777798</v>
      </c>
      <c r="CK6" s="30">
        <v>25319.7</v>
      </c>
      <c r="CL6" s="30">
        <v>16253.1</v>
      </c>
      <c r="CM6" s="30">
        <v>4.5147500000000003</v>
      </c>
      <c r="CN6" s="30">
        <v>10836.2</v>
      </c>
      <c r="CO6" s="30">
        <v>3.0100555555555557</v>
      </c>
      <c r="CP6" s="30">
        <v>0</v>
      </c>
      <c r="CQ6" s="30">
        <v>0</v>
      </c>
      <c r="CR6" s="30">
        <v>18.600000000000001</v>
      </c>
      <c r="CS6" s="30">
        <v>5.1666666666666666E-3</v>
      </c>
      <c r="CT6" s="30">
        <v>18.600000000000001</v>
      </c>
      <c r="CU6" s="30">
        <v>5.1666666666666666E-3</v>
      </c>
      <c r="CV6" s="32">
        <v>7.5248055555555569</v>
      </c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</row>
    <row r="7" spans="1:502" x14ac:dyDescent="0.3">
      <c r="B7" s="18" t="s">
        <v>17</v>
      </c>
      <c r="C7" s="18" t="s">
        <v>19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  <c r="P7" s="42">
        <f t="shared" si="0"/>
        <v>15785.440826400001</v>
      </c>
      <c r="Q7" s="14">
        <v>78095.899999999994</v>
      </c>
      <c r="R7" s="14">
        <v>20720.5</v>
      </c>
      <c r="S7" s="14">
        <v>5.7556944440000004</v>
      </c>
      <c r="T7" s="14">
        <v>2824.5</v>
      </c>
      <c r="U7" s="14">
        <v>0.78458333300000005</v>
      </c>
      <c r="V7" s="14">
        <v>0</v>
      </c>
      <c r="W7" s="14">
        <v>0</v>
      </c>
      <c r="X7" s="14">
        <v>1602.7</v>
      </c>
      <c r="Y7" s="14">
        <v>0.44519444400000002</v>
      </c>
      <c r="Z7" s="14">
        <v>1602.7</v>
      </c>
      <c r="AA7" s="14">
        <v>0.44519444400000002</v>
      </c>
      <c r="AB7" s="15">
        <v>6.5402777780000001</v>
      </c>
      <c r="AC7" s="31">
        <v>37680</v>
      </c>
      <c r="AD7" s="31">
        <v>12226</v>
      </c>
      <c r="AE7" s="31">
        <v>3.3961111111111113</v>
      </c>
      <c r="AF7" s="31">
        <v>12865.4</v>
      </c>
      <c r="AG7" s="31">
        <v>3.573722222222222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3">
        <v>6.9698333333333338</v>
      </c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7"/>
      <c r="BY7" s="31">
        <v>36569.4</v>
      </c>
      <c r="BZ7" s="31">
        <v>14731</v>
      </c>
      <c r="CA7" s="31">
        <v>4.0919444444444446</v>
      </c>
      <c r="CB7" s="31">
        <v>11301.5</v>
      </c>
      <c r="CC7" s="31">
        <v>3.1393055555555556</v>
      </c>
      <c r="CD7" s="31">
        <v>0</v>
      </c>
      <c r="CE7" s="31">
        <v>0</v>
      </c>
      <c r="CF7" s="31">
        <v>0</v>
      </c>
      <c r="CG7" s="31">
        <v>0</v>
      </c>
      <c r="CH7" s="31">
        <v>0</v>
      </c>
      <c r="CI7" s="31">
        <v>0</v>
      </c>
      <c r="CJ7" s="33">
        <v>7.2312500000000011</v>
      </c>
      <c r="CK7">
        <v>25725.8</v>
      </c>
      <c r="CL7">
        <v>16273.9</v>
      </c>
      <c r="CM7">
        <v>4.5205277777777777</v>
      </c>
      <c r="CN7">
        <v>11611.2</v>
      </c>
      <c r="CO7">
        <v>3.2253333333333334</v>
      </c>
      <c r="CP7">
        <v>0</v>
      </c>
      <c r="CQ7">
        <v>0</v>
      </c>
      <c r="CR7">
        <v>30.4</v>
      </c>
      <c r="CS7">
        <v>8.4444444444444437E-3</v>
      </c>
      <c r="CT7">
        <v>30.4</v>
      </c>
      <c r="CU7">
        <v>8.4444444444444437E-3</v>
      </c>
      <c r="CV7" s="6">
        <v>7.7458611111111111</v>
      </c>
    </row>
    <row r="8" spans="1:502" s="2" customFormat="1" x14ac:dyDescent="0.3">
      <c r="A8" s="5"/>
      <c r="B8" s="20" t="s">
        <v>17</v>
      </c>
      <c r="C8" s="20" t="s">
        <v>20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42">
        <f t="shared" si="0"/>
        <v>15295.8700328</v>
      </c>
      <c r="Q8" s="24">
        <v>76784.3</v>
      </c>
      <c r="R8" s="24">
        <v>20349.5</v>
      </c>
      <c r="S8" s="24">
        <v>5.6526388890000003</v>
      </c>
      <c r="T8" s="24">
        <v>934.5</v>
      </c>
      <c r="U8" s="24">
        <v>0.25958333300000003</v>
      </c>
      <c r="V8" s="24">
        <v>0</v>
      </c>
      <c r="W8" s="24">
        <v>0</v>
      </c>
      <c r="X8" s="24">
        <v>499.5</v>
      </c>
      <c r="Y8" s="24">
        <v>0.13875000000000001</v>
      </c>
      <c r="Z8" s="24">
        <v>499.5</v>
      </c>
      <c r="AA8" s="24">
        <v>0.13875000000000001</v>
      </c>
      <c r="AB8" s="25">
        <v>5.9122222219999996</v>
      </c>
      <c r="AC8" s="22">
        <v>37727</v>
      </c>
      <c r="AD8" s="22">
        <v>12228.8</v>
      </c>
      <c r="AE8" s="22">
        <v>3.3968888888888888</v>
      </c>
      <c r="AF8" s="22">
        <v>12900</v>
      </c>
      <c r="AG8" s="22">
        <v>3.5833333333333335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3">
        <v>6.9802222222222223</v>
      </c>
      <c r="AZ8" s="5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9"/>
      <c r="BX8" s="5"/>
      <c r="BY8" s="28">
        <v>36828.6</v>
      </c>
      <c r="BZ8" s="28">
        <v>14744.8</v>
      </c>
      <c r="CA8" s="28">
        <v>4.0957777777777773</v>
      </c>
      <c r="CB8" s="28">
        <v>11289.7</v>
      </c>
      <c r="CC8" s="28">
        <v>3.1360277777777781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9">
        <v>7.2318055555555576</v>
      </c>
      <c r="CK8" s="2">
        <v>25650.5</v>
      </c>
      <c r="CL8" s="2">
        <v>16269.6</v>
      </c>
      <c r="CM8" s="2">
        <v>4.5193333333333339</v>
      </c>
      <c r="CN8" s="2">
        <v>10702.4</v>
      </c>
      <c r="CO8" s="2">
        <v>2.9728888888888889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5">
        <v>7.4922222222222219</v>
      </c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</row>
    <row r="9" spans="1:502" x14ac:dyDescent="0.3">
      <c r="B9" s="18" t="s">
        <v>17</v>
      </c>
      <c r="C9" s="18" t="s">
        <v>21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  <c r="P9" s="42">
        <f t="shared" si="0"/>
        <v>15617.3539552</v>
      </c>
      <c r="Q9" s="14">
        <v>77081.2</v>
      </c>
      <c r="R9" s="14">
        <v>20456.2</v>
      </c>
      <c r="S9" s="14">
        <v>5.6822777779999996</v>
      </c>
      <c r="T9" s="14">
        <v>610.4</v>
      </c>
      <c r="U9" s="14">
        <v>0.169555556</v>
      </c>
      <c r="V9" s="14">
        <v>0</v>
      </c>
      <c r="W9" s="14">
        <v>0</v>
      </c>
      <c r="X9" s="14">
        <v>1757.1</v>
      </c>
      <c r="Y9" s="14">
        <v>0.48808333300000001</v>
      </c>
      <c r="Z9" s="14">
        <v>1757.1</v>
      </c>
      <c r="AA9" s="14">
        <v>0.48808333300000001</v>
      </c>
      <c r="AB9" s="15">
        <v>5.8518333330000001</v>
      </c>
      <c r="AC9" s="31">
        <v>37680</v>
      </c>
      <c r="AD9" s="31">
        <v>12226</v>
      </c>
      <c r="AE9" s="31">
        <v>3.3961111111111113</v>
      </c>
      <c r="AF9" s="31">
        <v>12882.2</v>
      </c>
      <c r="AG9" s="31">
        <v>3.5783888888888891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3">
        <v>6.9745000000000008</v>
      </c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7"/>
      <c r="BY9" s="26">
        <v>36811.800000000003</v>
      </c>
      <c r="BZ9" s="26">
        <v>14743.1</v>
      </c>
      <c r="CA9" s="26">
        <v>4.095305555555556</v>
      </c>
      <c r="CB9" s="26">
        <v>11475.9</v>
      </c>
      <c r="CC9" s="26">
        <v>3.1877499999999999</v>
      </c>
      <c r="CD9" s="26">
        <v>0</v>
      </c>
      <c r="CE9" s="26">
        <v>0</v>
      </c>
      <c r="CF9" s="26">
        <v>121.7</v>
      </c>
      <c r="CG9" s="26">
        <v>3.3805555555555554E-2</v>
      </c>
      <c r="CH9" s="26">
        <v>121.7</v>
      </c>
      <c r="CI9" s="26">
        <v>3.3805555555555554E-2</v>
      </c>
      <c r="CJ9" s="27">
        <v>7.2830555555555563</v>
      </c>
      <c r="CK9">
        <v>26013.1</v>
      </c>
      <c r="CL9">
        <v>16289.5</v>
      </c>
      <c r="CM9">
        <v>4.524861111111111</v>
      </c>
      <c r="CN9">
        <v>12111.4</v>
      </c>
      <c r="CO9">
        <v>3.3642777777777777</v>
      </c>
      <c r="CP9">
        <v>0</v>
      </c>
      <c r="CQ9">
        <v>0</v>
      </c>
      <c r="CR9">
        <v>17.100000000000001</v>
      </c>
      <c r="CS9">
        <v>4.7500000000000007E-3</v>
      </c>
      <c r="CT9">
        <v>17.100000000000001</v>
      </c>
      <c r="CU9">
        <v>4.7500000000000007E-3</v>
      </c>
      <c r="CV9" s="6">
        <v>7.8891388888888887</v>
      </c>
    </row>
    <row r="10" spans="1:502" s="2" customFormat="1" x14ac:dyDescent="0.3">
      <c r="A10" s="5"/>
      <c r="B10" s="20" t="s">
        <v>17</v>
      </c>
      <c r="C10" s="20" t="s">
        <v>22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42">
        <f t="shared" si="0"/>
        <v>15292.7149224</v>
      </c>
      <c r="Q10" s="24">
        <v>76921.899999999994</v>
      </c>
      <c r="R10" s="24">
        <v>20408.2</v>
      </c>
      <c r="S10" s="24">
        <v>5.6689444440000001</v>
      </c>
      <c r="T10" s="24">
        <v>593.1</v>
      </c>
      <c r="U10" s="24">
        <v>0.16475000000000001</v>
      </c>
      <c r="V10" s="24">
        <v>0</v>
      </c>
      <c r="W10" s="24">
        <v>0</v>
      </c>
      <c r="X10" s="24">
        <v>303.10000000000002</v>
      </c>
      <c r="Y10" s="24">
        <v>8.4194443999999993E-2</v>
      </c>
      <c r="Z10" s="24">
        <v>303.10000000000002</v>
      </c>
      <c r="AA10" s="24">
        <v>8.4194443999999993E-2</v>
      </c>
      <c r="AB10" s="25">
        <v>5.8336944439999998</v>
      </c>
      <c r="AC10" s="30">
        <v>37680</v>
      </c>
      <c r="AD10" s="30">
        <v>12226</v>
      </c>
      <c r="AE10" s="30">
        <v>3.3961111111111113</v>
      </c>
      <c r="AF10" s="30">
        <v>12751.4</v>
      </c>
      <c r="AG10" s="30">
        <v>3.5420555555555553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2">
        <v>6.9381666666666675</v>
      </c>
      <c r="AZ10" s="5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9"/>
      <c r="BX10" s="5"/>
      <c r="BY10" s="28">
        <v>36585</v>
      </c>
      <c r="BZ10" s="28">
        <v>14730.3</v>
      </c>
      <c r="CA10" s="28">
        <v>4.0917500000000002</v>
      </c>
      <c r="CB10" s="28">
        <v>11301.7</v>
      </c>
      <c r="CC10" s="28">
        <v>3.1393611111111115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9">
        <v>7.2311111111111135</v>
      </c>
      <c r="CK10" s="2">
        <v>25932.3</v>
      </c>
      <c r="CL10" s="2">
        <v>16285.8</v>
      </c>
      <c r="CM10" s="2">
        <v>4.5238333333333332</v>
      </c>
      <c r="CN10" s="2">
        <v>10684.8</v>
      </c>
      <c r="CO10" s="2">
        <v>2.968</v>
      </c>
      <c r="CP10" s="2">
        <v>0</v>
      </c>
      <c r="CQ10" s="2">
        <v>0</v>
      </c>
      <c r="CR10" s="2">
        <v>9.6999999999999993</v>
      </c>
      <c r="CS10" s="2">
        <v>2.6944444444444442E-3</v>
      </c>
      <c r="CT10" s="2">
        <v>9.6999999999999993</v>
      </c>
      <c r="CU10" s="2">
        <v>2.6944444444444442E-3</v>
      </c>
      <c r="CV10" s="5">
        <v>7.491833333333334</v>
      </c>
    </row>
    <row r="11" spans="1:502" s="1" customFormat="1" x14ac:dyDescent="0.3">
      <c r="A11" s="4"/>
      <c r="B11" s="19" t="s">
        <v>17</v>
      </c>
      <c r="C11" s="19" t="s">
        <v>23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42">
        <f t="shared" si="0"/>
        <v>15474.7189616</v>
      </c>
      <c r="Q11" s="16">
        <v>78694.600000000006</v>
      </c>
      <c r="R11" s="16">
        <v>20567.5</v>
      </c>
      <c r="S11" s="16">
        <v>5.713194444</v>
      </c>
      <c r="T11" s="16">
        <v>1940.1</v>
      </c>
      <c r="U11" s="16">
        <v>0.53891666699999996</v>
      </c>
      <c r="V11" s="16">
        <v>0</v>
      </c>
      <c r="W11" s="16">
        <v>0</v>
      </c>
      <c r="X11" s="16">
        <v>80</v>
      </c>
      <c r="Y11" s="16">
        <v>2.2222222E-2</v>
      </c>
      <c r="Z11" s="16">
        <v>80</v>
      </c>
      <c r="AA11" s="16">
        <v>2.2222222E-2</v>
      </c>
      <c r="AB11" s="17">
        <v>6.2521111109999996</v>
      </c>
      <c r="AC11" s="12">
        <v>37727</v>
      </c>
      <c r="AD11" s="12">
        <v>12228.8</v>
      </c>
      <c r="AE11" s="12">
        <v>3.3968888888888888</v>
      </c>
      <c r="AF11" s="12">
        <v>12841.2</v>
      </c>
      <c r="AG11" s="12">
        <v>3.5670000000000002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3">
        <v>6.9638888888888903</v>
      </c>
      <c r="AZ11" s="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5"/>
      <c r="BX11" s="4"/>
      <c r="BY11" s="34">
        <v>36646.5</v>
      </c>
      <c r="BZ11" s="34">
        <v>14733.8</v>
      </c>
      <c r="CA11" s="34">
        <v>4.0927222222222222</v>
      </c>
      <c r="CB11" s="34">
        <v>11298.2</v>
      </c>
      <c r="CC11" s="34">
        <v>3.1383888888888891</v>
      </c>
      <c r="CD11" s="34">
        <v>0</v>
      </c>
      <c r="CE11" s="34">
        <v>0</v>
      </c>
      <c r="CF11" s="34">
        <v>0</v>
      </c>
      <c r="CG11" s="34">
        <v>0</v>
      </c>
      <c r="CH11" s="34">
        <v>0</v>
      </c>
      <c r="CI11" s="34">
        <v>0</v>
      </c>
      <c r="CJ11" s="35">
        <v>7.2311111111111135</v>
      </c>
      <c r="CK11" s="1">
        <v>26127</v>
      </c>
      <c r="CL11" s="1">
        <v>16296</v>
      </c>
      <c r="CM11" s="1">
        <v>4.5266666666666664</v>
      </c>
      <c r="CN11" s="1">
        <v>12766.9</v>
      </c>
      <c r="CO11" s="1">
        <v>3.5463611111111111</v>
      </c>
      <c r="CP11" s="1">
        <v>0</v>
      </c>
      <c r="CQ11" s="1">
        <v>0</v>
      </c>
      <c r="CR11" s="1">
        <v>5.2</v>
      </c>
      <c r="CS11" s="1">
        <v>1.4444444444444446E-3</v>
      </c>
      <c r="CT11" s="1">
        <v>5.2</v>
      </c>
      <c r="CU11" s="1">
        <v>1.4444444444444446E-3</v>
      </c>
      <c r="CV11" s="4">
        <v>8.0730277777777779</v>
      </c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</row>
    <row r="12" spans="1:502" x14ac:dyDescent="0.3">
      <c r="B12" s="18" t="s">
        <v>17</v>
      </c>
      <c r="C12" s="18" t="s">
        <v>24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42">
        <f t="shared" si="0"/>
        <v>15639.9070464</v>
      </c>
      <c r="Q12" s="14">
        <v>79478.399999999994</v>
      </c>
      <c r="R12" s="14">
        <v>20723.599999999999</v>
      </c>
      <c r="S12" s="14">
        <v>5.7565555560000004</v>
      </c>
      <c r="T12" s="14">
        <v>3483.2</v>
      </c>
      <c r="U12" s="14">
        <v>0.96755555599999998</v>
      </c>
      <c r="V12" s="14">
        <v>0</v>
      </c>
      <c r="W12" s="14">
        <v>0</v>
      </c>
      <c r="X12" s="14">
        <v>233.6</v>
      </c>
      <c r="Y12" s="14">
        <v>6.4888889000000005E-2</v>
      </c>
      <c r="Z12" s="14">
        <v>233.6</v>
      </c>
      <c r="AA12" s="14">
        <v>6.4888889000000005E-2</v>
      </c>
      <c r="AB12" s="15">
        <v>6.724111111</v>
      </c>
      <c r="AC12" s="31">
        <v>37680</v>
      </c>
      <c r="AD12" s="31">
        <v>12226</v>
      </c>
      <c r="AE12" s="31">
        <v>3.3961111111111113</v>
      </c>
      <c r="AF12" s="31">
        <v>12881</v>
      </c>
      <c r="AG12" s="31">
        <v>3.5780555555555558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3">
        <v>6.9741666666666671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7"/>
      <c r="BY12" s="31">
        <v>36616.800000000003</v>
      </c>
      <c r="BZ12" s="31">
        <v>14733</v>
      </c>
      <c r="CA12" s="31">
        <v>4.0925000000000002</v>
      </c>
      <c r="CB12" s="31">
        <v>11300</v>
      </c>
      <c r="CC12" s="31">
        <v>3.1388888888888888</v>
      </c>
      <c r="CD12" s="31">
        <v>0</v>
      </c>
      <c r="CE12" s="31">
        <v>0</v>
      </c>
      <c r="CF12" s="31">
        <v>0</v>
      </c>
      <c r="CG12" s="31">
        <v>0</v>
      </c>
      <c r="CH12" s="31">
        <v>0</v>
      </c>
      <c r="CI12" s="31">
        <v>0</v>
      </c>
      <c r="CJ12" s="33">
        <v>7.2313888888888895</v>
      </c>
      <c r="CK12">
        <v>25906.2</v>
      </c>
      <c r="CL12">
        <v>16284.7</v>
      </c>
      <c r="CM12">
        <v>4.5235277777777778</v>
      </c>
      <c r="CN12">
        <v>13109.4</v>
      </c>
      <c r="CO12">
        <v>3.6414999999999997</v>
      </c>
      <c r="CP12">
        <v>0</v>
      </c>
      <c r="CQ12">
        <v>0</v>
      </c>
      <c r="CR12">
        <v>12.3</v>
      </c>
      <c r="CS12">
        <v>3.4166666666666668E-3</v>
      </c>
      <c r="CT12">
        <v>12.3</v>
      </c>
      <c r="CU12">
        <v>3.4166666666666668E-3</v>
      </c>
      <c r="CV12" s="6">
        <v>8.1650277777777767</v>
      </c>
    </row>
    <row r="13" spans="1:502" s="2" customFormat="1" x14ac:dyDescent="0.3">
      <c r="A13" s="5"/>
      <c r="B13" s="20" t="s">
        <v>17</v>
      </c>
      <c r="C13" s="20" t="s">
        <v>25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42">
        <f t="shared" si="0"/>
        <v>15600.418751200001</v>
      </c>
      <c r="Q13" s="24">
        <v>79169.7</v>
      </c>
      <c r="R13" s="24">
        <v>20734.7</v>
      </c>
      <c r="S13" s="24">
        <v>5.7596388889999997</v>
      </c>
      <c r="T13" s="24">
        <v>2735.7</v>
      </c>
      <c r="U13" s="24">
        <v>0.75991666700000005</v>
      </c>
      <c r="V13" s="24">
        <v>0</v>
      </c>
      <c r="W13" s="24">
        <v>0</v>
      </c>
      <c r="X13" s="24">
        <v>155.80000000000001</v>
      </c>
      <c r="Y13" s="24">
        <v>4.3277778000000003E-2</v>
      </c>
      <c r="Z13" s="24">
        <v>155.80000000000001</v>
      </c>
      <c r="AA13" s="24">
        <v>4.3277778000000003E-2</v>
      </c>
      <c r="AB13" s="25">
        <v>6.5195555560000003</v>
      </c>
      <c r="AC13" s="30">
        <v>37680</v>
      </c>
      <c r="AD13" s="30">
        <v>12226</v>
      </c>
      <c r="AE13" s="30">
        <v>3.3961111111111113</v>
      </c>
      <c r="AF13" s="30">
        <v>12789.8</v>
      </c>
      <c r="AG13" s="30">
        <v>3.5527222222222221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2">
        <v>6.9488333333333347</v>
      </c>
      <c r="AZ13" s="5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9"/>
      <c r="BX13" s="5"/>
      <c r="BY13" s="28">
        <v>36712.9</v>
      </c>
      <c r="BZ13" s="28">
        <v>14736.6</v>
      </c>
      <c r="CA13" s="28">
        <v>4.0934999999999997</v>
      </c>
      <c r="CB13" s="28">
        <v>11296.9</v>
      </c>
      <c r="CC13" s="28">
        <v>3.1380277777777779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9">
        <v>7.231527777777778</v>
      </c>
      <c r="CK13" s="2">
        <v>25663.9</v>
      </c>
      <c r="CL13" s="2">
        <v>16270.7</v>
      </c>
      <c r="CM13" s="2">
        <v>4.5196388888888892</v>
      </c>
      <c r="CN13" s="2">
        <v>11550.6</v>
      </c>
      <c r="CO13" s="2">
        <v>3.2084999999999999</v>
      </c>
      <c r="CP13" s="2">
        <v>0</v>
      </c>
      <c r="CQ13" s="2">
        <v>0</v>
      </c>
      <c r="CR13" s="2">
        <v>3.3</v>
      </c>
      <c r="CS13" s="2">
        <v>9.1666666666666665E-4</v>
      </c>
      <c r="CT13" s="2">
        <v>3.3</v>
      </c>
      <c r="CU13" s="2">
        <v>9.1666666666666665E-4</v>
      </c>
      <c r="CV13" s="5">
        <v>7.72813888888889</v>
      </c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</row>
    <row r="15" spans="1:502" x14ac:dyDescent="0.3">
      <c r="O15"/>
      <c r="P15"/>
    </row>
    <row r="16" spans="1:502" x14ac:dyDescent="0.3">
      <c r="O16"/>
      <c r="P16"/>
    </row>
    <row r="17" spans="4:16" x14ac:dyDescent="0.3"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4:16" x14ac:dyDescent="0.3">
      <c r="O18"/>
      <c r="P18"/>
    </row>
    <row r="19" spans="4:16" x14ac:dyDescent="0.3">
      <c r="O19"/>
      <c r="P19"/>
    </row>
    <row r="20" spans="4:16" x14ac:dyDescent="0.3">
      <c r="O20"/>
      <c r="P20"/>
    </row>
    <row r="21" spans="4:16" x14ac:dyDescent="0.3"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4:16" x14ac:dyDescent="0.3">
      <c r="O22"/>
      <c r="P22"/>
    </row>
    <row r="23" spans="4:16" x14ac:dyDescent="0.3">
      <c r="O23"/>
      <c r="P23"/>
    </row>
    <row r="24" spans="4:16" x14ac:dyDescent="0.3">
      <c r="O24"/>
      <c r="P24"/>
    </row>
  </sheetData>
  <mergeCells count="8">
    <mergeCell ref="BM3:BX3"/>
    <mergeCell ref="BY3:CJ3"/>
    <mergeCell ref="CK3:CV3"/>
    <mergeCell ref="D3:O3"/>
    <mergeCell ref="Q3:AB3"/>
    <mergeCell ref="AC3:AN3"/>
    <mergeCell ref="AO3:AZ3"/>
    <mergeCell ref="BA3:B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 results in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Ifigeneia Tziola</dc:creator>
  <cp:lastModifiedBy>Ifigeneia Tziola</cp:lastModifiedBy>
  <dcterms:created xsi:type="dcterms:W3CDTF">2025-01-02T12:58:05Z</dcterms:created>
  <dcterms:modified xsi:type="dcterms:W3CDTF">2025-01-14T15:40:56Z</dcterms:modified>
</cp:coreProperties>
</file>